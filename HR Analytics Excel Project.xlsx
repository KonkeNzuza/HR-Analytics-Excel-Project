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06CA\EXCELCNV\04980b6e-61e9-4434-8d8c-03548fbbe1f4\"/>
    </mc:Choice>
  </mc:AlternateContent>
  <xr:revisionPtr revIDLastSave="0" documentId="8_{E2BD6B22-406B-46F5-8A83-D8610E5265C1}" xr6:coauthVersionLast="47" xr6:coauthVersionMax="47" xr10:uidLastSave="{00000000-0000-0000-0000-000000000000}"/>
  <bookViews>
    <workbookView xWindow="-60" yWindow="-60" windowWidth="15480" windowHeight="11640" xr2:uid="{8D7D7218-41D5-47EC-AC8F-E10AC321DB9A}"/>
  </bookViews>
  <sheets>
    <sheet name="Employee_Data" sheetId="3" r:id="rId1"/>
    <sheet name="Analysis" sheetId="4" r:id="rId2"/>
    <sheet name="Lookup_Table" sheetId="1" r:id="rId3"/>
    <sheet name="Pivot_Table" sheetId="5" r:id="rId4"/>
    <sheet name="Dashboard" sheetId="6" r:id="rId5"/>
  </sheets>
  <definedNames>
    <definedName name="_xlnm._FilterDatabase" localSheetId="2" hidden="1">Lookup_Table!$G$1:$G$312</definedName>
    <definedName name="_xlnm._FilterDatabase" localSheetId="0" hidden="1">Employee_Data!$AF$1:$AF$312</definedName>
    <definedName name="Slicer_Department">#N/A</definedName>
  </definedNames>
  <calcPr calcId="191028"/>
  <pivotCaches>
    <pivotCache cacheId="2792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A1" i="4" a="1"/>
  <c r="A1" i="4"/>
  <c r="G312" i="3" a="1"/>
  <c r="G312" i="3" s="1"/>
  <c r="F312" i="3" a="1"/>
  <c r="F312" i="3" s="1"/>
  <c r="E312" i="3" a="1"/>
  <c r="E312" i="3" s="1"/>
  <c r="D312" i="3"/>
  <c r="C312" i="3"/>
  <c r="B312" i="3"/>
  <c r="G311" i="3" a="1"/>
  <c r="G311" i="3" s="1"/>
  <c r="F311" i="3" a="1"/>
  <c r="F311" i="3" s="1"/>
  <c r="E311" i="3" a="1"/>
  <c r="E311" i="3" s="1"/>
  <c r="D311" i="3"/>
  <c r="C311" i="3"/>
  <c r="B311" i="3"/>
  <c r="G310" i="3" a="1"/>
  <c r="G310" i="3" s="1"/>
  <c r="F310" i="3" a="1"/>
  <c r="F310" i="3" s="1"/>
  <c r="E310" i="3" a="1"/>
  <c r="E310" i="3" s="1"/>
  <c r="D310" i="3"/>
  <c r="C310" i="3"/>
  <c r="B310" i="3"/>
  <c r="G309" i="3" a="1"/>
  <c r="G309" i="3" s="1"/>
  <c r="F309" i="3" a="1"/>
  <c r="F309" i="3" s="1"/>
  <c r="E309" i="3" a="1"/>
  <c r="E309" i="3" s="1"/>
  <c r="D309" i="3"/>
  <c r="C309" i="3"/>
  <c r="B309" i="3"/>
  <c r="G308" i="3" a="1"/>
  <c r="G308" i="3" s="1"/>
  <c r="F308" i="3" a="1"/>
  <c r="F308" i="3" s="1"/>
  <c r="E308" i="3" a="1"/>
  <c r="E308" i="3" s="1"/>
  <c r="D308" i="3"/>
  <c r="C308" i="3"/>
  <c r="B308" i="3"/>
  <c r="G307" i="3" a="1"/>
  <c r="G307" i="3" s="1"/>
  <c r="F307" i="3" a="1"/>
  <c r="F307" i="3" s="1"/>
  <c r="E307" i="3" a="1"/>
  <c r="E307" i="3" s="1"/>
  <c r="D307" i="3"/>
  <c r="C307" i="3"/>
  <c r="B307" i="3"/>
  <c r="G306" i="3" a="1"/>
  <c r="G306" i="3" s="1"/>
  <c r="F306" i="3" a="1"/>
  <c r="F306" i="3" s="1"/>
  <c r="E306" i="3" a="1"/>
  <c r="E306" i="3" s="1"/>
  <c r="D306" i="3"/>
  <c r="C306" i="3"/>
  <c r="B306" i="3"/>
  <c r="G305" i="3" a="1"/>
  <c r="G305" i="3" s="1"/>
  <c r="F305" i="3" a="1"/>
  <c r="F305" i="3" s="1"/>
  <c r="E305" i="3" a="1"/>
  <c r="E305" i="3" s="1"/>
  <c r="D305" i="3"/>
  <c r="C305" i="3"/>
  <c r="B305" i="3"/>
  <c r="G304" i="3" a="1"/>
  <c r="G304" i="3" s="1"/>
  <c r="F304" i="3" a="1"/>
  <c r="F304" i="3" s="1"/>
  <c r="E304" i="3" a="1"/>
  <c r="E304" i="3" s="1"/>
  <c r="D304" i="3"/>
  <c r="C304" i="3"/>
  <c r="B304" i="3"/>
  <c r="G303" i="3" a="1"/>
  <c r="G303" i="3" s="1"/>
  <c r="F303" i="3" a="1"/>
  <c r="F303" i="3" s="1"/>
  <c r="E303" i="3" a="1"/>
  <c r="E303" i="3" s="1"/>
  <c r="D303" i="3"/>
  <c r="C303" i="3"/>
  <c r="B303" i="3"/>
  <c r="G302" i="3" a="1"/>
  <c r="G302" i="3" s="1"/>
  <c r="F302" i="3" a="1"/>
  <c r="F302" i="3" s="1"/>
  <c r="E302" i="3" a="1"/>
  <c r="E302" i="3" s="1"/>
  <c r="D302" i="3"/>
  <c r="C302" i="3"/>
  <c r="B302" i="3"/>
  <c r="G301" i="3" a="1"/>
  <c r="G301" i="3" s="1"/>
  <c r="F301" i="3" a="1"/>
  <c r="F301" i="3" s="1"/>
  <c r="E301" i="3" a="1"/>
  <c r="E301" i="3" s="1"/>
  <c r="D301" i="3"/>
  <c r="C301" i="3"/>
  <c r="B301" i="3"/>
  <c r="G300" i="3" a="1"/>
  <c r="G300" i="3" s="1"/>
  <c r="F300" i="3" a="1"/>
  <c r="F300" i="3" s="1"/>
  <c r="E300" i="3" a="1"/>
  <c r="E300" i="3" s="1"/>
  <c r="D300" i="3"/>
  <c r="C300" i="3"/>
  <c r="B300" i="3"/>
  <c r="G299" i="3" a="1"/>
  <c r="G299" i="3" s="1"/>
  <c r="F299" i="3" a="1"/>
  <c r="F299" i="3" s="1"/>
  <c r="E299" i="3" a="1"/>
  <c r="E299" i="3" s="1"/>
  <c r="D299" i="3"/>
  <c r="C299" i="3"/>
  <c r="B299" i="3"/>
  <c r="G298" i="3" a="1"/>
  <c r="G298" i="3" s="1"/>
  <c r="F298" i="3" a="1"/>
  <c r="F298" i="3" s="1"/>
  <c r="E298" i="3" a="1"/>
  <c r="E298" i="3" s="1"/>
  <c r="D298" i="3"/>
  <c r="C298" i="3"/>
  <c r="B298" i="3"/>
  <c r="G297" i="3" a="1"/>
  <c r="G297" i="3" s="1"/>
  <c r="F297" i="3" a="1"/>
  <c r="F297" i="3" s="1"/>
  <c r="E297" i="3" a="1"/>
  <c r="E297" i="3" s="1"/>
  <c r="D297" i="3"/>
  <c r="C297" i="3"/>
  <c r="B297" i="3"/>
  <c r="G296" i="3" a="1"/>
  <c r="G296" i="3" s="1"/>
  <c r="F296" i="3" a="1"/>
  <c r="F296" i="3" s="1"/>
  <c r="E296" i="3" a="1"/>
  <c r="E296" i="3" s="1"/>
  <c r="D296" i="3"/>
  <c r="C296" i="3"/>
  <c r="B296" i="3"/>
  <c r="G295" i="3" a="1"/>
  <c r="G295" i="3" s="1"/>
  <c r="F295" i="3" a="1"/>
  <c r="F295" i="3" s="1"/>
  <c r="E295" i="3" a="1"/>
  <c r="E295" i="3" s="1"/>
  <c r="D295" i="3"/>
  <c r="C295" i="3"/>
  <c r="B295" i="3"/>
  <c r="G294" i="3" a="1"/>
  <c r="G294" i="3" s="1"/>
  <c r="F294" i="3" a="1"/>
  <c r="F294" i="3" s="1"/>
  <c r="E294" i="3" a="1"/>
  <c r="E294" i="3" s="1"/>
  <c r="D294" i="3"/>
  <c r="C294" i="3"/>
  <c r="B294" i="3"/>
  <c r="G293" i="3" a="1"/>
  <c r="G293" i="3" s="1"/>
  <c r="F293" i="3" a="1"/>
  <c r="F293" i="3" s="1"/>
  <c r="E293" i="3" a="1"/>
  <c r="E293" i="3" s="1"/>
  <c r="D293" i="3"/>
  <c r="C293" i="3"/>
  <c r="B293" i="3"/>
  <c r="G292" i="3" a="1"/>
  <c r="G292" i="3" s="1"/>
  <c r="F292" i="3" a="1"/>
  <c r="F292" i="3" s="1"/>
  <c r="E292" i="3" a="1"/>
  <c r="E292" i="3" s="1"/>
  <c r="D292" i="3"/>
  <c r="C292" i="3"/>
  <c r="B292" i="3"/>
  <c r="G291" i="3" a="1"/>
  <c r="G291" i="3" s="1"/>
  <c r="F291" i="3" a="1"/>
  <c r="F291" i="3" s="1"/>
  <c r="E291" i="3" a="1"/>
  <c r="E291" i="3" s="1"/>
  <c r="D291" i="3"/>
  <c r="C291" i="3"/>
  <c r="B291" i="3"/>
  <c r="G290" i="3" a="1"/>
  <c r="G290" i="3" s="1"/>
  <c r="F290" i="3" a="1"/>
  <c r="F290" i="3" s="1"/>
  <c r="E290" i="3" a="1"/>
  <c r="E290" i="3" s="1"/>
  <c r="D290" i="3"/>
  <c r="C290" i="3"/>
  <c r="B290" i="3"/>
  <c r="G289" i="3" a="1"/>
  <c r="G289" i="3" s="1"/>
  <c r="F289" i="3" a="1"/>
  <c r="F289" i="3" s="1"/>
  <c r="E289" i="3" a="1"/>
  <c r="E289" i="3" s="1"/>
  <c r="D289" i="3"/>
  <c r="C289" i="3"/>
  <c r="B289" i="3"/>
  <c r="G288" i="3" a="1"/>
  <c r="G288" i="3" s="1"/>
  <c r="F288" i="3" a="1"/>
  <c r="F288" i="3" s="1"/>
  <c r="E288" i="3" a="1"/>
  <c r="E288" i="3" s="1"/>
  <c r="D288" i="3"/>
  <c r="C288" i="3"/>
  <c r="B288" i="3"/>
  <c r="G287" i="3" a="1"/>
  <c r="G287" i="3" s="1"/>
  <c r="F287" i="3" a="1"/>
  <c r="F287" i="3" s="1"/>
  <c r="E287" i="3" a="1"/>
  <c r="E287" i="3" s="1"/>
  <c r="D287" i="3"/>
  <c r="C287" i="3"/>
  <c r="B287" i="3"/>
  <c r="G286" i="3" a="1"/>
  <c r="G286" i="3" s="1"/>
  <c r="F286" i="3" a="1"/>
  <c r="F286" i="3" s="1"/>
  <c r="E286" i="3" a="1"/>
  <c r="E286" i="3" s="1"/>
  <c r="D286" i="3"/>
  <c r="C286" i="3"/>
  <c r="B286" i="3"/>
  <c r="G285" i="3" a="1"/>
  <c r="G285" i="3" s="1"/>
  <c r="F285" i="3" a="1"/>
  <c r="F285" i="3" s="1"/>
  <c r="E285" i="3" a="1"/>
  <c r="E285" i="3" s="1"/>
  <c r="D285" i="3"/>
  <c r="C285" i="3"/>
  <c r="B285" i="3"/>
  <c r="G284" i="3" a="1"/>
  <c r="G284" i="3" s="1"/>
  <c r="F284" i="3" a="1"/>
  <c r="F284" i="3" s="1"/>
  <c r="E284" i="3" a="1"/>
  <c r="E284" i="3" s="1"/>
  <c r="D284" i="3"/>
  <c r="C284" i="3"/>
  <c r="B284" i="3"/>
  <c r="G283" i="3" a="1"/>
  <c r="G283" i="3" s="1"/>
  <c r="F283" i="3" a="1"/>
  <c r="F283" i="3" s="1"/>
  <c r="E283" i="3" a="1"/>
  <c r="E283" i="3" s="1"/>
  <c r="D283" i="3"/>
  <c r="C283" i="3"/>
  <c r="B283" i="3"/>
  <c r="G282" i="3" a="1"/>
  <c r="G282" i="3" s="1"/>
  <c r="F282" i="3" a="1"/>
  <c r="F282" i="3" s="1"/>
  <c r="E282" i="3" a="1"/>
  <c r="E282" i="3" s="1"/>
  <c r="D282" i="3"/>
  <c r="C282" i="3"/>
  <c r="B282" i="3"/>
  <c r="G281" i="3" a="1"/>
  <c r="G281" i="3" s="1"/>
  <c r="F281" i="3" a="1"/>
  <c r="F281" i="3" s="1"/>
  <c r="E281" i="3" a="1"/>
  <c r="E281" i="3" s="1"/>
  <c r="D281" i="3"/>
  <c r="C281" i="3"/>
  <c r="B281" i="3"/>
  <c r="G280" i="3" a="1"/>
  <c r="G280" i="3" s="1"/>
  <c r="F280" i="3" a="1"/>
  <c r="F280" i="3" s="1"/>
  <c r="E280" i="3" a="1"/>
  <c r="E280" i="3" s="1"/>
  <c r="D280" i="3"/>
  <c r="C280" i="3"/>
  <c r="B280" i="3"/>
  <c r="G279" i="3" a="1"/>
  <c r="G279" i="3" s="1"/>
  <c r="F279" i="3" a="1"/>
  <c r="F279" i="3" s="1"/>
  <c r="E279" i="3" a="1"/>
  <c r="E279" i="3" s="1"/>
  <c r="D279" i="3"/>
  <c r="C279" i="3"/>
  <c r="B279" i="3"/>
  <c r="G278" i="3" a="1"/>
  <c r="G278" i="3" s="1"/>
  <c r="F278" i="3" a="1"/>
  <c r="F278" i="3" s="1"/>
  <c r="E278" i="3" a="1"/>
  <c r="E278" i="3" s="1"/>
  <c r="D278" i="3"/>
  <c r="C278" i="3"/>
  <c r="B278" i="3"/>
  <c r="G277" i="3" a="1"/>
  <c r="G277" i="3" s="1"/>
  <c r="F277" i="3" a="1"/>
  <c r="F277" i="3" s="1"/>
  <c r="E277" i="3" a="1"/>
  <c r="E277" i="3" s="1"/>
  <c r="D277" i="3"/>
  <c r="C277" i="3"/>
  <c r="B277" i="3"/>
  <c r="G276" i="3" a="1"/>
  <c r="G276" i="3" s="1"/>
  <c r="F276" i="3" a="1"/>
  <c r="F276" i="3" s="1"/>
  <c r="E276" i="3" a="1"/>
  <c r="E276" i="3" s="1"/>
  <c r="D276" i="3"/>
  <c r="C276" i="3"/>
  <c r="B276" i="3"/>
  <c r="G275" i="3" a="1"/>
  <c r="G275" i="3" s="1"/>
  <c r="F275" i="3" a="1"/>
  <c r="F275" i="3" s="1"/>
  <c r="E275" i="3" a="1"/>
  <c r="E275" i="3" s="1"/>
  <c r="D275" i="3"/>
  <c r="C275" i="3"/>
  <c r="B275" i="3"/>
  <c r="G274" i="3" a="1"/>
  <c r="G274" i="3" s="1"/>
  <c r="F274" i="3" a="1"/>
  <c r="F274" i="3" s="1"/>
  <c r="E274" i="3" a="1"/>
  <c r="E274" i="3" s="1"/>
  <c r="D274" i="3"/>
  <c r="C274" i="3"/>
  <c r="B274" i="3"/>
  <c r="G273" i="3" a="1"/>
  <c r="G273" i="3" s="1"/>
  <c r="F273" i="3" a="1"/>
  <c r="F273" i="3" s="1"/>
  <c r="E273" i="3" a="1"/>
  <c r="E273" i="3" s="1"/>
  <c r="D273" i="3"/>
  <c r="C273" i="3"/>
  <c r="B273" i="3"/>
  <c r="G272" i="3" a="1"/>
  <c r="G272" i="3" s="1"/>
  <c r="F272" i="3" a="1"/>
  <c r="F272" i="3" s="1"/>
  <c r="E272" i="3" a="1"/>
  <c r="E272" i="3" s="1"/>
  <c r="D272" i="3"/>
  <c r="C272" i="3"/>
  <c r="B272" i="3"/>
  <c r="G271" i="3" a="1"/>
  <c r="G271" i="3" s="1"/>
  <c r="F271" i="3" a="1"/>
  <c r="F271" i="3" s="1"/>
  <c r="E271" i="3" a="1"/>
  <c r="E271" i="3" s="1"/>
  <c r="D271" i="3"/>
  <c r="C271" i="3"/>
  <c r="B271" i="3"/>
  <c r="G270" i="3" a="1"/>
  <c r="G270" i="3" s="1"/>
  <c r="F270" i="3" a="1"/>
  <c r="F270" i="3" s="1"/>
  <c r="E270" i="3" a="1"/>
  <c r="E270" i="3" s="1"/>
  <c r="D270" i="3"/>
  <c r="C270" i="3"/>
  <c r="B270" i="3"/>
  <c r="G269" i="3" a="1"/>
  <c r="G269" i="3" s="1"/>
  <c r="F269" i="3" a="1"/>
  <c r="F269" i="3" s="1"/>
  <c r="E269" i="3" a="1"/>
  <c r="E269" i="3" s="1"/>
  <c r="D269" i="3"/>
  <c r="C269" i="3"/>
  <c r="B269" i="3"/>
  <c r="G268" i="3" a="1"/>
  <c r="G268" i="3" s="1"/>
  <c r="F268" i="3" a="1"/>
  <c r="F268" i="3" s="1"/>
  <c r="E268" i="3" a="1"/>
  <c r="E268" i="3" s="1"/>
  <c r="D268" i="3"/>
  <c r="C268" i="3"/>
  <c r="B268" i="3"/>
  <c r="G267" i="3" a="1"/>
  <c r="G267" i="3" s="1"/>
  <c r="F267" i="3" a="1"/>
  <c r="F267" i="3" s="1"/>
  <c r="E267" i="3" a="1"/>
  <c r="E267" i="3" s="1"/>
  <c r="D267" i="3"/>
  <c r="C267" i="3"/>
  <c r="B267" i="3"/>
  <c r="G266" i="3" a="1"/>
  <c r="G266" i="3" s="1"/>
  <c r="F266" i="3" a="1"/>
  <c r="F266" i="3" s="1"/>
  <c r="E266" i="3" a="1"/>
  <c r="E266" i="3" s="1"/>
  <c r="D266" i="3"/>
  <c r="C266" i="3"/>
  <c r="B266" i="3"/>
  <c r="G265" i="3" a="1"/>
  <c r="G265" i="3" s="1"/>
  <c r="F265" i="3" a="1"/>
  <c r="F265" i="3" s="1"/>
  <c r="E265" i="3" a="1"/>
  <c r="E265" i="3" s="1"/>
  <c r="D265" i="3"/>
  <c r="C265" i="3"/>
  <c r="B265" i="3"/>
  <c r="G264" i="3" a="1"/>
  <c r="G264" i="3" s="1"/>
  <c r="F264" i="3" a="1"/>
  <c r="F264" i="3" s="1"/>
  <c r="E264" i="3" a="1"/>
  <c r="E264" i="3" s="1"/>
  <c r="D264" i="3"/>
  <c r="C264" i="3"/>
  <c r="B264" i="3"/>
  <c r="G263" i="3" a="1"/>
  <c r="G263" i="3" s="1"/>
  <c r="F263" i="3" a="1"/>
  <c r="F263" i="3" s="1"/>
  <c r="E263" i="3" a="1"/>
  <c r="E263" i="3" s="1"/>
  <c r="D263" i="3"/>
  <c r="C263" i="3"/>
  <c r="B263" i="3"/>
  <c r="G262" i="3" a="1"/>
  <c r="G262" i="3" s="1"/>
  <c r="F262" i="3" a="1"/>
  <c r="F262" i="3" s="1"/>
  <c r="E262" i="3" a="1"/>
  <c r="E262" i="3" s="1"/>
  <c r="D262" i="3"/>
  <c r="C262" i="3"/>
  <c r="B262" i="3"/>
  <c r="G261" i="3" a="1"/>
  <c r="G261" i="3" s="1"/>
  <c r="F261" i="3" a="1"/>
  <c r="F261" i="3" s="1"/>
  <c r="E261" i="3" a="1"/>
  <c r="E261" i="3" s="1"/>
  <c r="D261" i="3"/>
  <c r="C261" i="3"/>
  <c r="B261" i="3"/>
  <c r="G260" i="3" a="1"/>
  <c r="G260" i="3" s="1"/>
  <c r="F260" i="3" a="1"/>
  <c r="F260" i="3" s="1"/>
  <c r="E260" i="3" a="1"/>
  <c r="E260" i="3" s="1"/>
  <c r="D260" i="3"/>
  <c r="C260" i="3"/>
  <c r="B260" i="3"/>
  <c r="G259" i="3" a="1"/>
  <c r="G259" i="3" s="1"/>
  <c r="F259" i="3" a="1"/>
  <c r="F259" i="3" s="1"/>
  <c r="E259" i="3" a="1"/>
  <c r="E259" i="3" s="1"/>
  <c r="D259" i="3"/>
  <c r="C259" i="3"/>
  <c r="B259" i="3"/>
  <c r="G258" i="3" a="1"/>
  <c r="G258" i="3" s="1"/>
  <c r="F258" i="3" a="1"/>
  <c r="F258" i="3" s="1"/>
  <c r="E258" i="3" a="1"/>
  <c r="E258" i="3" s="1"/>
  <c r="D258" i="3"/>
  <c r="C258" i="3"/>
  <c r="B258" i="3"/>
  <c r="G257" i="3" a="1"/>
  <c r="G257" i="3" s="1"/>
  <c r="F257" i="3" a="1"/>
  <c r="F257" i="3" s="1"/>
  <c r="E257" i="3" a="1"/>
  <c r="E257" i="3" s="1"/>
  <c r="D257" i="3"/>
  <c r="C257" i="3"/>
  <c r="B257" i="3"/>
  <c r="G256" i="3" a="1"/>
  <c r="G256" i="3" s="1"/>
  <c r="F256" i="3" a="1"/>
  <c r="F256" i="3" s="1"/>
  <c r="E256" i="3" a="1"/>
  <c r="E256" i="3" s="1"/>
  <c r="D256" i="3"/>
  <c r="C256" i="3"/>
  <c r="B256" i="3"/>
  <c r="G255" i="3" a="1"/>
  <c r="G255" i="3" s="1"/>
  <c r="F255" i="3" a="1"/>
  <c r="F255" i="3" s="1"/>
  <c r="E255" i="3" a="1"/>
  <c r="E255" i="3" s="1"/>
  <c r="D255" i="3"/>
  <c r="C255" i="3"/>
  <c r="B255" i="3"/>
  <c r="G254" i="3" a="1"/>
  <c r="G254" i="3" s="1"/>
  <c r="F254" i="3" a="1"/>
  <c r="F254" i="3" s="1"/>
  <c r="E254" i="3" a="1"/>
  <c r="E254" i="3" s="1"/>
  <c r="D254" i="3"/>
  <c r="C254" i="3"/>
  <c r="B254" i="3"/>
  <c r="G253" i="3" a="1"/>
  <c r="G253" i="3" s="1"/>
  <c r="F253" i="3" a="1"/>
  <c r="F253" i="3" s="1"/>
  <c r="E253" i="3" a="1"/>
  <c r="E253" i="3" s="1"/>
  <c r="D253" i="3"/>
  <c r="C253" i="3"/>
  <c r="B253" i="3"/>
  <c r="G252" i="3" a="1"/>
  <c r="G252" i="3" s="1"/>
  <c r="F252" i="3" a="1"/>
  <c r="F252" i="3" s="1"/>
  <c r="E252" i="3" a="1"/>
  <c r="E252" i="3" s="1"/>
  <c r="D252" i="3"/>
  <c r="C252" i="3"/>
  <c r="B252" i="3"/>
  <c r="G251" i="3" a="1"/>
  <c r="G251" i="3" s="1"/>
  <c r="F251" i="3" a="1"/>
  <c r="F251" i="3" s="1"/>
  <c r="E251" i="3" a="1"/>
  <c r="E251" i="3" s="1"/>
  <c r="D251" i="3"/>
  <c r="C251" i="3"/>
  <c r="B251" i="3"/>
  <c r="G250" i="3" a="1"/>
  <c r="G250" i="3" s="1"/>
  <c r="F250" i="3" a="1"/>
  <c r="F250" i="3" s="1"/>
  <c r="E250" i="3" a="1"/>
  <c r="E250" i="3" s="1"/>
  <c r="D250" i="3"/>
  <c r="C250" i="3"/>
  <c r="B250" i="3"/>
  <c r="G249" i="3" a="1"/>
  <c r="G249" i="3" s="1"/>
  <c r="F249" i="3" a="1"/>
  <c r="F249" i="3" s="1"/>
  <c r="E249" i="3" a="1"/>
  <c r="E249" i="3" s="1"/>
  <c r="D249" i="3"/>
  <c r="C249" i="3"/>
  <c r="B249" i="3"/>
  <c r="G248" i="3" a="1"/>
  <c r="G248" i="3" s="1"/>
  <c r="F248" i="3" a="1"/>
  <c r="F248" i="3" s="1"/>
  <c r="E248" i="3" a="1"/>
  <c r="E248" i="3" s="1"/>
  <c r="D248" i="3"/>
  <c r="C248" i="3"/>
  <c r="B248" i="3"/>
  <c r="G247" i="3" a="1"/>
  <c r="G247" i="3" s="1"/>
  <c r="F247" i="3" a="1"/>
  <c r="F247" i="3" s="1"/>
  <c r="E247" i="3" a="1"/>
  <c r="E247" i="3" s="1"/>
  <c r="D247" i="3"/>
  <c r="C247" i="3"/>
  <c r="B247" i="3"/>
  <c r="G246" i="3" a="1"/>
  <c r="G246" i="3" s="1"/>
  <c r="F246" i="3" a="1"/>
  <c r="F246" i="3" s="1"/>
  <c r="E246" i="3" a="1"/>
  <c r="E246" i="3" s="1"/>
  <c r="D246" i="3"/>
  <c r="C246" i="3"/>
  <c r="B246" i="3"/>
  <c r="G245" i="3" a="1"/>
  <c r="G245" i="3" s="1"/>
  <c r="F245" i="3" a="1"/>
  <c r="F245" i="3" s="1"/>
  <c r="E245" i="3" a="1"/>
  <c r="E245" i="3" s="1"/>
  <c r="D245" i="3"/>
  <c r="C245" i="3"/>
  <c r="B245" i="3"/>
  <c r="G244" i="3" a="1"/>
  <c r="G244" i="3" s="1"/>
  <c r="F244" i="3" a="1"/>
  <c r="F244" i="3" s="1"/>
  <c r="E244" i="3" a="1"/>
  <c r="E244" i="3" s="1"/>
  <c r="D244" i="3"/>
  <c r="C244" i="3"/>
  <c r="B244" i="3"/>
  <c r="G243" i="3" a="1"/>
  <c r="G243" i="3" s="1"/>
  <c r="F243" i="3" a="1"/>
  <c r="F243" i="3" s="1"/>
  <c r="E243" i="3" a="1"/>
  <c r="E243" i="3" s="1"/>
  <c r="D243" i="3"/>
  <c r="C243" i="3"/>
  <c r="B243" i="3"/>
  <c r="G242" i="3" a="1"/>
  <c r="G242" i="3" s="1"/>
  <c r="F242" i="3" a="1"/>
  <c r="F242" i="3" s="1"/>
  <c r="E242" i="3" a="1"/>
  <c r="E242" i="3" s="1"/>
  <c r="D242" i="3"/>
  <c r="C242" i="3"/>
  <c r="B242" i="3"/>
  <c r="G241" i="3" a="1"/>
  <c r="G241" i="3" s="1"/>
  <c r="F241" i="3" a="1"/>
  <c r="F241" i="3" s="1"/>
  <c r="E241" i="3" a="1"/>
  <c r="E241" i="3" s="1"/>
  <c r="D241" i="3"/>
  <c r="C241" i="3"/>
  <c r="B241" i="3"/>
  <c r="G240" i="3" a="1"/>
  <c r="G240" i="3" s="1"/>
  <c r="F240" i="3" a="1"/>
  <c r="F240" i="3" s="1"/>
  <c r="E240" i="3" a="1"/>
  <c r="E240" i="3" s="1"/>
  <c r="D240" i="3"/>
  <c r="C240" i="3"/>
  <c r="B240" i="3"/>
  <c r="G239" i="3" a="1"/>
  <c r="G239" i="3" s="1"/>
  <c r="F239" i="3" a="1"/>
  <c r="F239" i="3" s="1"/>
  <c r="E239" i="3" a="1"/>
  <c r="E239" i="3" s="1"/>
  <c r="D239" i="3"/>
  <c r="C239" i="3"/>
  <c r="B239" i="3"/>
  <c r="G238" i="3" a="1"/>
  <c r="G238" i="3" s="1"/>
  <c r="F238" i="3" a="1"/>
  <c r="F238" i="3" s="1"/>
  <c r="E238" i="3" a="1"/>
  <c r="E238" i="3" s="1"/>
  <c r="D238" i="3"/>
  <c r="C238" i="3"/>
  <c r="B238" i="3"/>
  <c r="G237" i="3" a="1"/>
  <c r="G237" i="3" s="1"/>
  <c r="F237" i="3" a="1"/>
  <c r="F237" i="3" s="1"/>
  <c r="E237" i="3" a="1"/>
  <c r="E237" i="3" s="1"/>
  <c r="D237" i="3"/>
  <c r="C237" i="3"/>
  <c r="B237" i="3"/>
  <c r="G236" i="3" a="1"/>
  <c r="G236" i="3" s="1"/>
  <c r="F236" i="3" a="1"/>
  <c r="F236" i="3" s="1"/>
  <c r="E236" i="3" a="1"/>
  <c r="E236" i="3" s="1"/>
  <c r="D236" i="3"/>
  <c r="C236" i="3"/>
  <c r="B236" i="3"/>
  <c r="G235" i="3" a="1"/>
  <c r="G235" i="3" s="1"/>
  <c r="F235" i="3" a="1"/>
  <c r="F235" i="3" s="1"/>
  <c r="E235" i="3" a="1"/>
  <c r="E235" i="3" s="1"/>
  <c r="D235" i="3"/>
  <c r="C235" i="3"/>
  <c r="B235" i="3"/>
  <c r="G234" i="3" a="1"/>
  <c r="G234" i="3" s="1"/>
  <c r="F234" i="3" a="1"/>
  <c r="F234" i="3" s="1"/>
  <c r="E234" i="3" a="1"/>
  <c r="E234" i="3" s="1"/>
  <c r="D234" i="3"/>
  <c r="C234" i="3"/>
  <c r="B234" i="3"/>
  <c r="G233" i="3" a="1"/>
  <c r="G233" i="3" s="1"/>
  <c r="F233" i="3" a="1"/>
  <c r="F233" i="3" s="1"/>
  <c r="E233" i="3" a="1"/>
  <c r="E233" i="3" s="1"/>
  <c r="D233" i="3"/>
  <c r="C233" i="3"/>
  <c r="B233" i="3"/>
  <c r="G232" i="3" a="1"/>
  <c r="G232" i="3" s="1"/>
  <c r="F232" i="3" a="1"/>
  <c r="F232" i="3" s="1"/>
  <c r="E232" i="3" a="1"/>
  <c r="E232" i="3" s="1"/>
  <c r="D232" i="3"/>
  <c r="C232" i="3"/>
  <c r="B232" i="3"/>
  <c r="G231" i="3" a="1"/>
  <c r="G231" i="3" s="1"/>
  <c r="F231" i="3" a="1"/>
  <c r="F231" i="3" s="1"/>
  <c r="E231" i="3" a="1"/>
  <c r="E231" i="3" s="1"/>
  <c r="D231" i="3"/>
  <c r="C231" i="3"/>
  <c r="B231" i="3"/>
  <c r="G230" i="3" a="1"/>
  <c r="G230" i="3" s="1"/>
  <c r="F230" i="3" a="1"/>
  <c r="F230" i="3" s="1"/>
  <c r="E230" i="3" a="1"/>
  <c r="E230" i="3" s="1"/>
  <c r="D230" i="3"/>
  <c r="C230" i="3"/>
  <c r="B230" i="3"/>
  <c r="G229" i="3" a="1"/>
  <c r="G229" i="3" s="1"/>
  <c r="F229" i="3" a="1"/>
  <c r="F229" i="3" s="1"/>
  <c r="E229" i="3" a="1"/>
  <c r="E229" i="3" s="1"/>
  <c r="D229" i="3"/>
  <c r="C229" i="3"/>
  <c r="B229" i="3"/>
  <c r="G228" i="3" a="1"/>
  <c r="G228" i="3" s="1"/>
  <c r="F228" i="3" a="1"/>
  <c r="F228" i="3" s="1"/>
  <c r="E228" i="3" a="1"/>
  <c r="E228" i="3" s="1"/>
  <c r="D228" i="3"/>
  <c r="C228" i="3"/>
  <c r="B228" i="3"/>
  <c r="G227" i="3" a="1"/>
  <c r="G227" i="3" s="1"/>
  <c r="F227" i="3" a="1"/>
  <c r="F227" i="3" s="1"/>
  <c r="E227" i="3" a="1"/>
  <c r="E227" i="3" s="1"/>
  <c r="D227" i="3"/>
  <c r="C227" i="3"/>
  <c r="B227" i="3"/>
  <c r="G226" i="3" a="1"/>
  <c r="G226" i="3" s="1"/>
  <c r="F226" i="3" a="1"/>
  <c r="F226" i="3" s="1"/>
  <c r="E226" i="3" a="1"/>
  <c r="E226" i="3" s="1"/>
  <c r="D226" i="3"/>
  <c r="C226" i="3"/>
  <c r="B226" i="3"/>
  <c r="G225" i="3" a="1"/>
  <c r="G225" i="3" s="1"/>
  <c r="F225" i="3" a="1"/>
  <c r="F225" i="3" s="1"/>
  <c r="E225" i="3" a="1"/>
  <c r="E225" i="3" s="1"/>
  <c r="D225" i="3"/>
  <c r="C225" i="3"/>
  <c r="B225" i="3"/>
  <c r="G224" i="3" a="1"/>
  <c r="G224" i="3" s="1"/>
  <c r="F224" i="3" a="1"/>
  <c r="F224" i="3" s="1"/>
  <c r="E224" i="3" a="1"/>
  <c r="E224" i="3" s="1"/>
  <c r="D224" i="3"/>
  <c r="C224" i="3"/>
  <c r="B224" i="3"/>
  <c r="G223" i="3" a="1"/>
  <c r="G223" i="3" s="1"/>
  <c r="F223" i="3" a="1"/>
  <c r="F223" i="3" s="1"/>
  <c r="E223" i="3" a="1"/>
  <c r="E223" i="3" s="1"/>
  <c r="D223" i="3"/>
  <c r="C223" i="3"/>
  <c r="B223" i="3"/>
  <c r="G222" i="3" a="1"/>
  <c r="G222" i="3" s="1"/>
  <c r="F222" i="3" a="1"/>
  <c r="F222" i="3" s="1"/>
  <c r="E222" i="3" a="1"/>
  <c r="E222" i="3" s="1"/>
  <c r="D222" i="3"/>
  <c r="C222" i="3"/>
  <c r="B222" i="3"/>
  <c r="G221" i="3" a="1"/>
  <c r="G221" i="3" s="1"/>
  <c r="F221" i="3" a="1"/>
  <c r="F221" i="3" s="1"/>
  <c r="E221" i="3" a="1"/>
  <c r="E221" i="3" s="1"/>
  <c r="D221" i="3"/>
  <c r="C221" i="3"/>
  <c r="B221" i="3"/>
  <c r="G220" i="3" a="1"/>
  <c r="G220" i="3" s="1"/>
  <c r="F220" i="3" a="1"/>
  <c r="F220" i="3" s="1"/>
  <c r="E220" i="3" a="1"/>
  <c r="E220" i="3" s="1"/>
  <c r="D220" i="3"/>
  <c r="C220" i="3"/>
  <c r="B220" i="3"/>
  <c r="G219" i="3" a="1"/>
  <c r="G219" i="3" s="1"/>
  <c r="F219" i="3" a="1"/>
  <c r="F219" i="3" s="1"/>
  <c r="E219" i="3" a="1"/>
  <c r="E219" i="3" s="1"/>
  <c r="D219" i="3"/>
  <c r="C219" i="3"/>
  <c r="B219" i="3"/>
  <c r="G218" i="3" a="1"/>
  <c r="G218" i="3" s="1"/>
  <c r="F218" i="3" a="1"/>
  <c r="F218" i="3" s="1"/>
  <c r="E218" i="3" a="1"/>
  <c r="E218" i="3" s="1"/>
  <c r="D218" i="3"/>
  <c r="C218" i="3"/>
  <c r="B218" i="3"/>
  <c r="G217" i="3" a="1"/>
  <c r="G217" i="3" s="1"/>
  <c r="F217" i="3" a="1"/>
  <c r="F217" i="3" s="1"/>
  <c r="E217" i="3" a="1"/>
  <c r="E217" i="3" s="1"/>
  <c r="D217" i="3"/>
  <c r="C217" i="3"/>
  <c r="B217" i="3"/>
  <c r="G216" i="3" a="1"/>
  <c r="G216" i="3" s="1"/>
  <c r="F216" i="3" a="1"/>
  <c r="F216" i="3" s="1"/>
  <c r="E216" i="3" a="1"/>
  <c r="E216" i="3" s="1"/>
  <c r="D216" i="3"/>
  <c r="C216" i="3"/>
  <c r="B216" i="3"/>
  <c r="G215" i="3" a="1"/>
  <c r="G215" i="3" s="1"/>
  <c r="F215" i="3" a="1"/>
  <c r="F215" i="3" s="1"/>
  <c r="E215" i="3" a="1"/>
  <c r="E215" i="3" s="1"/>
  <c r="D215" i="3"/>
  <c r="C215" i="3"/>
  <c r="B215" i="3"/>
  <c r="G214" i="3" a="1"/>
  <c r="G214" i="3" s="1"/>
  <c r="F214" i="3" a="1"/>
  <c r="F214" i="3" s="1"/>
  <c r="E214" i="3" a="1"/>
  <c r="E214" i="3" s="1"/>
  <c r="D214" i="3"/>
  <c r="C214" i="3"/>
  <c r="B214" i="3"/>
  <c r="G213" i="3" a="1"/>
  <c r="G213" i="3" s="1"/>
  <c r="F213" i="3" a="1"/>
  <c r="F213" i="3" s="1"/>
  <c r="E213" i="3" a="1"/>
  <c r="E213" i="3" s="1"/>
  <c r="D213" i="3"/>
  <c r="C213" i="3"/>
  <c r="B213" i="3"/>
  <c r="G212" i="3" a="1"/>
  <c r="G212" i="3" s="1"/>
  <c r="F212" i="3" a="1"/>
  <c r="F212" i="3" s="1"/>
  <c r="E212" i="3" a="1"/>
  <c r="E212" i="3" s="1"/>
  <c r="D212" i="3"/>
  <c r="C212" i="3"/>
  <c r="B212" i="3"/>
  <c r="G211" i="3" a="1"/>
  <c r="G211" i="3" s="1"/>
  <c r="F211" i="3" a="1"/>
  <c r="F211" i="3" s="1"/>
  <c r="E211" i="3" a="1"/>
  <c r="E211" i="3" s="1"/>
  <c r="D211" i="3"/>
  <c r="C211" i="3"/>
  <c r="B211" i="3"/>
  <c r="G210" i="3" a="1"/>
  <c r="G210" i="3" s="1"/>
  <c r="F210" i="3" a="1"/>
  <c r="F210" i="3" s="1"/>
  <c r="E210" i="3" a="1"/>
  <c r="E210" i="3" s="1"/>
  <c r="D210" i="3"/>
  <c r="C210" i="3"/>
  <c r="B210" i="3"/>
  <c r="G209" i="3" a="1"/>
  <c r="G209" i="3" s="1"/>
  <c r="F209" i="3" a="1"/>
  <c r="F209" i="3" s="1"/>
  <c r="E209" i="3" a="1"/>
  <c r="E209" i="3" s="1"/>
  <c r="D209" i="3"/>
  <c r="C209" i="3"/>
  <c r="B209" i="3"/>
  <c r="G208" i="3" a="1"/>
  <c r="G208" i="3" s="1"/>
  <c r="F208" i="3" a="1"/>
  <c r="F208" i="3" s="1"/>
  <c r="E208" i="3" a="1"/>
  <c r="E208" i="3" s="1"/>
  <c r="D208" i="3"/>
  <c r="C208" i="3"/>
  <c r="B208" i="3"/>
  <c r="G207" i="3" a="1"/>
  <c r="G207" i="3" s="1"/>
  <c r="F207" i="3" a="1"/>
  <c r="F207" i="3" s="1"/>
  <c r="E207" i="3" a="1"/>
  <c r="E207" i="3" s="1"/>
  <c r="D207" i="3"/>
  <c r="C207" i="3"/>
  <c r="B207" i="3"/>
  <c r="G206" i="3" a="1"/>
  <c r="G206" i="3" s="1"/>
  <c r="F206" i="3" a="1"/>
  <c r="F206" i="3" s="1"/>
  <c r="E206" i="3" a="1"/>
  <c r="E206" i="3" s="1"/>
  <c r="D206" i="3"/>
  <c r="C206" i="3"/>
  <c r="B206" i="3"/>
  <c r="G205" i="3" a="1"/>
  <c r="G205" i="3" s="1"/>
  <c r="F205" i="3" a="1"/>
  <c r="F205" i="3" s="1"/>
  <c r="E205" i="3" a="1"/>
  <c r="E205" i="3" s="1"/>
  <c r="D205" i="3"/>
  <c r="C205" i="3"/>
  <c r="B205" i="3"/>
  <c r="G204" i="3" a="1"/>
  <c r="G204" i="3" s="1"/>
  <c r="F204" i="3" a="1"/>
  <c r="F204" i="3" s="1"/>
  <c r="E204" i="3" a="1"/>
  <c r="E204" i="3" s="1"/>
  <c r="D204" i="3"/>
  <c r="C204" i="3"/>
  <c r="B204" i="3"/>
  <c r="G203" i="3" a="1"/>
  <c r="G203" i="3" s="1"/>
  <c r="F203" i="3" a="1"/>
  <c r="F203" i="3" s="1"/>
  <c r="E203" i="3" a="1"/>
  <c r="E203" i="3" s="1"/>
  <c r="D203" i="3"/>
  <c r="C203" i="3"/>
  <c r="B203" i="3"/>
  <c r="G202" i="3" a="1"/>
  <c r="G202" i="3" s="1"/>
  <c r="F202" i="3" a="1"/>
  <c r="F202" i="3" s="1"/>
  <c r="E202" i="3" a="1"/>
  <c r="E202" i="3" s="1"/>
  <c r="D202" i="3"/>
  <c r="C202" i="3"/>
  <c r="B202" i="3"/>
  <c r="G201" i="3" a="1"/>
  <c r="G201" i="3" s="1"/>
  <c r="F201" i="3" a="1"/>
  <c r="F201" i="3" s="1"/>
  <c r="E201" i="3" a="1"/>
  <c r="E201" i="3" s="1"/>
  <c r="D201" i="3"/>
  <c r="C201" i="3"/>
  <c r="B201" i="3"/>
  <c r="G200" i="3" a="1"/>
  <c r="G200" i="3" s="1"/>
  <c r="F200" i="3" a="1"/>
  <c r="F200" i="3" s="1"/>
  <c r="E200" i="3" a="1"/>
  <c r="E200" i="3" s="1"/>
  <c r="D200" i="3"/>
  <c r="C200" i="3"/>
  <c r="B200" i="3"/>
  <c r="G199" i="3" a="1"/>
  <c r="G199" i="3" s="1"/>
  <c r="F199" i="3" a="1"/>
  <c r="F199" i="3" s="1"/>
  <c r="E199" i="3" a="1"/>
  <c r="E199" i="3" s="1"/>
  <c r="D199" i="3"/>
  <c r="C199" i="3"/>
  <c r="B199" i="3"/>
  <c r="G198" i="3" a="1"/>
  <c r="G198" i="3" s="1"/>
  <c r="F198" i="3" a="1"/>
  <c r="F198" i="3" s="1"/>
  <c r="E198" i="3" a="1"/>
  <c r="E198" i="3" s="1"/>
  <c r="D198" i="3"/>
  <c r="C198" i="3"/>
  <c r="B198" i="3"/>
  <c r="G197" i="3" a="1"/>
  <c r="G197" i="3" s="1"/>
  <c r="F197" i="3" a="1"/>
  <c r="F197" i="3" s="1"/>
  <c r="E197" i="3" a="1"/>
  <c r="E197" i="3" s="1"/>
  <c r="D197" i="3"/>
  <c r="C197" i="3"/>
  <c r="B197" i="3"/>
  <c r="G196" i="3" a="1"/>
  <c r="G196" i="3" s="1"/>
  <c r="F196" i="3" a="1"/>
  <c r="F196" i="3" s="1"/>
  <c r="E196" i="3" a="1"/>
  <c r="E196" i="3" s="1"/>
  <c r="D196" i="3"/>
  <c r="C196" i="3"/>
  <c r="B196" i="3"/>
  <c r="G195" i="3" a="1"/>
  <c r="G195" i="3" s="1"/>
  <c r="F195" i="3" a="1"/>
  <c r="F195" i="3" s="1"/>
  <c r="E195" i="3" a="1"/>
  <c r="E195" i="3" s="1"/>
  <c r="D195" i="3"/>
  <c r="C195" i="3"/>
  <c r="B195" i="3"/>
  <c r="G194" i="3" a="1"/>
  <c r="G194" i="3" s="1"/>
  <c r="F194" i="3" a="1"/>
  <c r="F194" i="3" s="1"/>
  <c r="E194" i="3" a="1"/>
  <c r="E194" i="3" s="1"/>
  <c r="D194" i="3"/>
  <c r="C194" i="3"/>
  <c r="B194" i="3"/>
  <c r="G193" i="3" a="1"/>
  <c r="G193" i="3" s="1"/>
  <c r="F193" i="3" a="1"/>
  <c r="F193" i="3" s="1"/>
  <c r="E193" i="3" a="1"/>
  <c r="E193" i="3" s="1"/>
  <c r="D193" i="3"/>
  <c r="C193" i="3"/>
  <c r="B193" i="3"/>
  <c r="G192" i="3" a="1"/>
  <c r="G192" i="3" s="1"/>
  <c r="F192" i="3" a="1"/>
  <c r="F192" i="3" s="1"/>
  <c r="E192" i="3" a="1"/>
  <c r="E192" i="3" s="1"/>
  <c r="D192" i="3"/>
  <c r="C192" i="3"/>
  <c r="B192" i="3"/>
  <c r="G191" i="3" a="1"/>
  <c r="G191" i="3" s="1"/>
  <c r="F191" i="3" a="1"/>
  <c r="F191" i="3" s="1"/>
  <c r="E191" i="3" a="1"/>
  <c r="E191" i="3" s="1"/>
  <c r="D191" i="3"/>
  <c r="C191" i="3"/>
  <c r="B191" i="3"/>
  <c r="G190" i="3" a="1"/>
  <c r="G190" i="3" s="1"/>
  <c r="F190" i="3" a="1"/>
  <c r="F190" i="3" s="1"/>
  <c r="E190" i="3" a="1"/>
  <c r="E190" i="3" s="1"/>
  <c r="D190" i="3"/>
  <c r="C190" i="3"/>
  <c r="B190" i="3"/>
  <c r="G189" i="3" a="1"/>
  <c r="G189" i="3" s="1"/>
  <c r="F189" i="3" a="1"/>
  <c r="F189" i="3" s="1"/>
  <c r="E189" i="3" a="1"/>
  <c r="E189" i="3" s="1"/>
  <c r="D189" i="3"/>
  <c r="C189" i="3"/>
  <c r="B189" i="3"/>
  <c r="G188" i="3" a="1"/>
  <c r="G188" i="3" s="1"/>
  <c r="F188" i="3" a="1"/>
  <c r="F188" i="3" s="1"/>
  <c r="E188" i="3" a="1"/>
  <c r="E188" i="3" s="1"/>
  <c r="D188" i="3"/>
  <c r="C188" i="3"/>
  <c r="B188" i="3"/>
  <c r="G187" i="3" a="1"/>
  <c r="G187" i="3" s="1"/>
  <c r="F187" i="3" a="1"/>
  <c r="F187" i="3" s="1"/>
  <c r="E187" i="3" a="1"/>
  <c r="E187" i="3" s="1"/>
  <c r="D187" i="3"/>
  <c r="C187" i="3"/>
  <c r="B187" i="3"/>
  <c r="G186" i="3" a="1"/>
  <c r="G186" i="3" s="1"/>
  <c r="F186" i="3" a="1"/>
  <c r="F186" i="3" s="1"/>
  <c r="E186" i="3" a="1"/>
  <c r="E186" i="3" s="1"/>
  <c r="D186" i="3"/>
  <c r="C186" i="3"/>
  <c r="B186" i="3"/>
  <c r="G185" i="3" a="1"/>
  <c r="G185" i="3" s="1"/>
  <c r="F185" i="3" a="1"/>
  <c r="F185" i="3" s="1"/>
  <c r="E185" i="3" a="1"/>
  <c r="E185" i="3" s="1"/>
  <c r="D185" i="3"/>
  <c r="C185" i="3"/>
  <c r="B185" i="3"/>
  <c r="G184" i="3" a="1"/>
  <c r="G184" i="3" s="1"/>
  <c r="F184" i="3" a="1"/>
  <c r="F184" i="3" s="1"/>
  <c r="E184" i="3" a="1"/>
  <c r="E184" i="3" s="1"/>
  <c r="D184" i="3"/>
  <c r="C184" i="3"/>
  <c r="B184" i="3"/>
  <c r="G183" i="3" a="1"/>
  <c r="G183" i="3" s="1"/>
  <c r="F183" i="3" a="1"/>
  <c r="F183" i="3" s="1"/>
  <c r="E183" i="3" a="1"/>
  <c r="E183" i="3" s="1"/>
  <c r="D183" i="3"/>
  <c r="C183" i="3"/>
  <c r="B183" i="3"/>
  <c r="G182" i="3" a="1"/>
  <c r="G182" i="3" s="1"/>
  <c r="F182" i="3" a="1"/>
  <c r="F182" i="3" s="1"/>
  <c r="E182" i="3" a="1"/>
  <c r="E182" i="3" s="1"/>
  <c r="D182" i="3"/>
  <c r="C182" i="3"/>
  <c r="B182" i="3"/>
  <c r="G181" i="3" a="1"/>
  <c r="G181" i="3" s="1"/>
  <c r="F181" i="3" a="1"/>
  <c r="F181" i="3" s="1"/>
  <c r="E181" i="3" a="1"/>
  <c r="E181" i="3" s="1"/>
  <c r="D181" i="3"/>
  <c r="C181" i="3"/>
  <c r="B181" i="3"/>
  <c r="G180" i="3" a="1"/>
  <c r="G180" i="3" s="1"/>
  <c r="F180" i="3" a="1"/>
  <c r="F180" i="3" s="1"/>
  <c r="E180" i="3" a="1"/>
  <c r="E180" i="3" s="1"/>
  <c r="D180" i="3"/>
  <c r="C180" i="3"/>
  <c r="B180" i="3"/>
  <c r="G179" i="3" a="1"/>
  <c r="G179" i="3" s="1"/>
  <c r="F179" i="3" a="1"/>
  <c r="F179" i="3" s="1"/>
  <c r="E179" i="3" a="1"/>
  <c r="E179" i="3" s="1"/>
  <c r="D179" i="3"/>
  <c r="C179" i="3"/>
  <c r="B179" i="3"/>
  <c r="G178" i="3" a="1"/>
  <c r="G178" i="3" s="1"/>
  <c r="F178" i="3" a="1"/>
  <c r="F178" i="3" s="1"/>
  <c r="E178" i="3" a="1"/>
  <c r="E178" i="3" s="1"/>
  <c r="D178" i="3"/>
  <c r="C178" i="3"/>
  <c r="B178" i="3"/>
  <c r="G177" i="3" a="1"/>
  <c r="G177" i="3" s="1"/>
  <c r="F177" i="3" a="1"/>
  <c r="F177" i="3" s="1"/>
  <c r="E177" i="3" a="1"/>
  <c r="E177" i="3" s="1"/>
  <c r="D177" i="3"/>
  <c r="C177" i="3"/>
  <c r="B177" i="3"/>
  <c r="G176" i="3" a="1"/>
  <c r="G176" i="3" s="1"/>
  <c r="F176" i="3" a="1"/>
  <c r="F176" i="3" s="1"/>
  <c r="E176" i="3" a="1"/>
  <c r="E176" i="3" s="1"/>
  <c r="D176" i="3"/>
  <c r="C176" i="3"/>
  <c r="B176" i="3"/>
  <c r="G175" i="3" a="1"/>
  <c r="G175" i="3" s="1"/>
  <c r="F175" i="3" a="1"/>
  <c r="F175" i="3" s="1"/>
  <c r="E175" i="3" a="1"/>
  <c r="E175" i="3" s="1"/>
  <c r="D175" i="3"/>
  <c r="C175" i="3"/>
  <c r="B175" i="3"/>
  <c r="G174" i="3" a="1"/>
  <c r="G174" i="3" s="1"/>
  <c r="F174" i="3" a="1"/>
  <c r="F174" i="3" s="1"/>
  <c r="E174" i="3" a="1"/>
  <c r="E174" i="3" s="1"/>
  <c r="D174" i="3"/>
  <c r="C174" i="3"/>
  <c r="B174" i="3"/>
  <c r="G173" i="3" a="1"/>
  <c r="G173" i="3" s="1"/>
  <c r="F173" i="3" a="1"/>
  <c r="F173" i="3" s="1"/>
  <c r="E173" i="3" a="1"/>
  <c r="E173" i="3" s="1"/>
  <c r="D173" i="3"/>
  <c r="C173" i="3"/>
  <c r="B173" i="3"/>
  <c r="G172" i="3" a="1"/>
  <c r="G172" i="3" s="1"/>
  <c r="F172" i="3" a="1"/>
  <c r="F172" i="3" s="1"/>
  <c r="E172" i="3" a="1"/>
  <c r="E172" i="3" s="1"/>
  <c r="D172" i="3"/>
  <c r="C172" i="3"/>
  <c r="B172" i="3"/>
  <c r="G171" i="3" a="1"/>
  <c r="G171" i="3" s="1"/>
  <c r="F171" i="3" a="1"/>
  <c r="F171" i="3" s="1"/>
  <c r="E171" i="3" a="1"/>
  <c r="E171" i="3" s="1"/>
  <c r="D171" i="3"/>
  <c r="C171" i="3"/>
  <c r="B171" i="3"/>
  <c r="G170" i="3" a="1"/>
  <c r="G170" i="3" s="1"/>
  <c r="F170" i="3" a="1"/>
  <c r="F170" i="3" s="1"/>
  <c r="E170" i="3" a="1"/>
  <c r="E170" i="3" s="1"/>
  <c r="D170" i="3"/>
  <c r="C170" i="3"/>
  <c r="B170" i="3"/>
  <c r="G169" i="3" a="1"/>
  <c r="G169" i="3" s="1"/>
  <c r="F169" i="3" a="1"/>
  <c r="F169" i="3" s="1"/>
  <c r="E169" i="3" a="1"/>
  <c r="E169" i="3" s="1"/>
  <c r="D169" i="3"/>
  <c r="C169" i="3"/>
  <c r="B169" i="3"/>
  <c r="G168" i="3" a="1"/>
  <c r="G168" i="3" s="1"/>
  <c r="F168" i="3" a="1"/>
  <c r="F168" i="3" s="1"/>
  <c r="E168" i="3" a="1"/>
  <c r="E168" i="3" s="1"/>
  <c r="D168" i="3"/>
  <c r="C168" i="3"/>
  <c r="B168" i="3"/>
  <c r="G167" i="3" a="1"/>
  <c r="G167" i="3" s="1"/>
  <c r="F167" i="3" a="1"/>
  <c r="F167" i="3" s="1"/>
  <c r="E167" i="3" a="1"/>
  <c r="E167" i="3" s="1"/>
  <c r="D167" i="3"/>
  <c r="C167" i="3"/>
  <c r="B167" i="3"/>
  <c r="G166" i="3" a="1"/>
  <c r="G166" i="3" s="1"/>
  <c r="F166" i="3" a="1"/>
  <c r="F166" i="3" s="1"/>
  <c r="E166" i="3" a="1"/>
  <c r="E166" i="3" s="1"/>
  <c r="D166" i="3"/>
  <c r="C166" i="3"/>
  <c r="B166" i="3"/>
  <c r="G165" i="3" a="1"/>
  <c r="G165" i="3" s="1"/>
  <c r="F165" i="3" a="1"/>
  <c r="F165" i="3" s="1"/>
  <c r="E165" i="3" a="1"/>
  <c r="E165" i="3" s="1"/>
  <c r="D165" i="3"/>
  <c r="C165" i="3"/>
  <c r="B165" i="3"/>
  <c r="G164" i="3" a="1"/>
  <c r="G164" i="3" s="1"/>
  <c r="F164" i="3" a="1"/>
  <c r="F164" i="3" s="1"/>
  <c r="E164" i="3" a="1"/>
  <c r="E164" i="3" s="1"/>
  <c r="D164" i="3"/>
  <c r="C164" i="3"/>
  <c r="B164" i="3"/>
  <c r="G163" i="3" a="1"/>
  <c r="G163" i="3" s="1"/>
  <c r="F163" i="3" a="1"/>
  <c r="F163" i="3" s="1"/>
  <c r="E163" i="3" a="1"/>
  <c r="E163" i="3" s="1"/>
  <c r="D163" i="3"/>
  <c r="C163" i="3"/>
  <c r="B163" i="3"/>
  <c r="G162" i="3" a="1"/>
  <c r="G162" i="3" s="1"/>
  <c r="F162" i="3" a="1"/>
  <c r="F162" i="3" s="1"/>
  <c r="E162" i="3" a="1"/>
  <c r="E162" i="3" s="1"/>
  <c r="D162" i="3"/>
  <c r="C162" i="3"/>
  <c r="B162" i="3"/>
  <c r="G161" i="3" a="1"/>
  <c r="G161" i="3" s="1"/>
  <c r="F161" i="3" a="1"/>
  <c r="F161" i="3" s="1"/>
  <c r="E161" i="3" a="1"/>
  <c r="E161" i="3" s="1"/>
  <c r="D161" i="3"/>
  <c r="C161" i="3"/>
  <c r="B161" i="3"/>
  <c r="G160" i="3" a="1"/>
  <c r="G160" i="3" s="1"/>
  <c r="F160" i="3" a="1"/>
  <c r="F160" i="3" s="1"/>
  <c r="E160" i="3" a="1"/>
  <c r="E160" i="3" s="1"/>
  <c r="D160" i="3"/>
  <c r="C160" i="3"/>
  <c r="B160" i="3"/>
  <c r="G159" i="3" a="1"/>
  <c r="G159" i="3" s="1"/>
  <c r="F159" i="3" a="1"/>
  <c r="F159" i="3" s="1"/>
  <c r="E159" i="3" a="1"/>
  <c r="E159" i="3" s="1"/>
  <c r="D159" i="3"/>
  <c r="C159" i="3"/>
  <c r="B159" i="3"/>
  <c r="G158" i="3" a="1"/>
  <c r="G158" i="3" s="1"/>
  <c r="F158" i="3" a="1"/>
  <c r="F158" i="3" s="1"/>
  <c r="E158" i="3" a="1"/>
  <c r="E158" i="3" s="1"/>
  <c r="D158" i="3"/>
  <c r="C158" i="3"/>
  <c r="B158" i="3"/>
  <c r="G157" i="3" a="1"/>
  <c r="G157" i="3" s="1"/>
  <c r="F157" i="3" a="1"/>
  <c r="F157" i="3" s="1"/>
  <c r="E157" i="3" a="1"/>
  <c r="E157" i="3" s="1"/>
  <c r="D157" i="3"/>
  <c r="C157" i="3"/>
  <c r="B157" i="3"/>
  <c r="G156" i="3" a="1"/>
  <c r="G156" i="3" s="1"/>
  <c r="F156" i="3" a="1"/>
  <c r="F156" i="3" s="1"/>
  <c r="E156" i="3" a="1"/>
  <c r="E156" i="3" s="1"/>
  <c r="D156" i="3"/>
  <c r="C156" i="3"/>
  <c r="B156" i="3"/>
  <c r="G155" i="3" a="1"/>
  <c r="G155" i="3" s="1"/>
  <c r="F155" i="3" a="1"/>
  <c r="F155" i="3" s="1"/>
  <c r="E155" i="3" a="1"/>
  <c r="E155" i="3" s="1"/>
  <c r="D155" i="3"/>
  <c r="C155" i="3"/>
  <c r="B155" i="3"/>
  <c r="G154" i="3" a="1"/>
  <c r="G154" i="3" s="1"/>
  <c r="F154" i="3" a="1"/>
  <c r="F154" i="3" s="1"/>
  <c r="E154" i="3" a="1"/>
  <c r="E154" i="3" s="1"/>
  <c r="D154" i="3"/>
  <c r="C154" i="3"/>
  <c r="B154" i="3"/>
  <c r="G153" i="3" a="1"/>
  <c r="G153" i="3" s="1"/>
  <c r="F153" i="3" a="1"/>
  <c r="F153" i="3" s="1"/>
  <c r="E153" i="3" a="1"/>
  <c r="E153" i="3" s="1"/>
  <c r="D153" i="3"/>
  <c r="C153" i="3"/>
  <c r="B153" i="3"/>
  <c r="G152" i="3" a="1"/>
  <c r="G152" i="3" s="1"/>
  <c r="F152" i="3" a="1"/>
  <c r="F152" i="3" s="1"/>
  <c r="E152" i="3" a="1"/>
  <c r="E152" i="3" s="1"/>
  <c r="D152" i="3"/>
  <c r="G7" i="4" s="1"/>
  <c r="C152" i="3"/>
  <c r="B152" i="3"/>
  <c r="G151" i="3" a="1"/>
  <c r="G151" i="3" s="1"/>
  <c r="F151" i="3" a="1"/>
  <c r="F151" i="3" s="1"/>
  <c r="E151" i="3" a="1"/>
  <c r="E151" i="3" s="1"/>
  <c r="D151" i="3"/>
  <c r="C151" i="3"/>
  <c r="B151" i="3"/>
  <c r="G150" i="3" a="1"/>
  <c r="G150" i="3" s="1"/>
  <c r="F150" i="3" a="1"/>
  <c r="F150" i="3" s="1"/>
  <c r="E150" i="3" a="1"/>
  <c r="E150" i="3" s="1"/>
  <c r="D150" i="3"/>
  <c r="C150" i="3"/>
  <c r="B150" i="3"/>
  <c r="G149" i="3" a="1"/>
  <c r="G149" i="3" s="1"/>
  <c r="F149" i="3" a="1"/>
  <c r="F149" i="3" s="1"/>
  <c r="E149" i="3" a="1"/>
  <c r="E149" i="3" s="1"/>
  <c r="D149" i="3"/>
  <c r="C149" i="3"/>
  <c r="B149" i="3"/>
  <c r="G148" i="3" a="1"/>
  <c r="G148" i="3" s="1"/>
  <c r="F148" i="3" a="1"/>
  <c r="F148" i="3" s="1"/>
  <c r="E148" i="3" a="1"/>
  <c r="E148" i="3" s="1"/>
  <c r="D148" i="3"/>
  <c r="C148" i="3"/>
  <c r="B148" i="3"/>
  <c r="G147" i="3" a="1"/>
  <c r="G147" i="3" s="1"/>
  <c r="F147" i="3" a="1"/>
  <c r="F147" i="3" s="1"/>
  <c r="E147" i="3" a="1"/>
  <c r="E147" i="3" s="1"/>
  <c r="D147" i="3"/>
  <c r="C147" i="3"/>
  <c r="B147" i="3"/>
  <c r="G146" i="3" a="1"/>
  <c r="G146" i="3" s="1"/>
  <c r="F146" i="3" a="1"/>
  <c r="F146" i="3" s="1"/>
  <c r="E146" i="3" a="1"/>
  <c r="E146" i="3" s="1"/>
  <c r="D146" i="3"/>
  <c r="C146" i="3"/>
  <c r="B146" i="3"/>
  <c r="G145" i="3" a="1"/>
  <c r="G145" i="3" s="1"/>
  <c r="F145" i="3" a="1"/>
  <c r="F145" i="3" s="1"/>
  <c r="E145" i="3" a="1"/>
  <c r="E145" i="3" s="1"/>
  <c r="D145" i="3"/>
  <c r="C145" i="3"/>
  <c r="B145" i="3"/>
  <c r="G144" i="3" a="1"/>
  <c r="G144" i="3" s="1"/>
  <c r="F144" i="3" a="1"/>
  <c r="F144" i="3" s="1"/>
  <c r="E144" i="3" a="1"/>
  <c r="E144" i="3" s="1"/>
  <c r="D144" i="3"/>
  <c r="C144" i="3"/>
  <c r="B144" i="3"/>
  <c r="G143" i="3" a="1"/>
  <c r="G143" i="3" s="1"/>
  <c r="F143" i="3" a="1"/>
  <c r="F143" i="3" s="1"/>
  <c r="E143" i="3" a="1"/>
  <c r="E143" i="3" s="1"/>
  <c r="D143" i="3"/>
  <c r="C143" i="3"/>
  <c r="B143" i="3"/>
  <c r="G142" i="3" a="1"/>
  <c r="G142" i="3" s="1"/>
  <c r="F142" i="3" a="1"/>
  <c r="F142" i="3" s="1"/>
  <c r="E142" i="3" a="1"/>
  <c r="E142" i="3" s="1"/>
  <c r="D142" i="3"/>
  <c r="C142" i="3"/>
  <c r="B142" i="3"/>
  <c r="G141" i="3" a="1"/>
  <c r="G141" i="3" s="1"/>
  <c r="F141" i="3" a="1"/>
  <c r="F141" i="3" s="1"/>
  <c r="E141" i="3" a="1"/>
  <c r="E141" i="3" s="1"/>
  <c r="D141" i="3"/>
  <c r="C141" i="3"/>
  <c r="B141" i="3"/>
  <c r="G140" i="3" a="1"/>
  <c r="G140" i="3" s="1"/>
  <c r="F140" i="3" a="1"/>
  <c r="F140" i="3" s="1"/>
  <c r="E140" i="3" a="1"/>
  <c r="E140" i="3" s="1"/>
  <c r="D140" i="3"/>
  <c r="C140" i="3"/>
  <c r="B140" i="3"/>
  <c r="G139" i="3" a="1"/>
  <c r="G139" i="3" s="1"/>
  <c r="F139" i="3" a="1"/>
  <c r="F139" i="3" s="1"/>
  <c r="E139" i="3" a="1"/>
  <c r="E139" i="3" s="1"/>
  <c r="D139" i="3"/>
  <c r="C139" i="3"/>
  <c r="B139" i="3"/>
  <c r="G138" i="3" a="1"/>
  <c r="G138" i="3" s="1"/>
  <c r="F138" i="3" a="1"/>
  <c r="F138" i="3" s="1"/>
  <c r="E138" i="3" a="1"/>
  <c r="E138" i="3" s="1"/>
  <c r="D138" i="3"/>
  <c r="C138" i="3"/>
  <c r="B138" i="3"/>
  <c r="G137" i="3" a="1"/>
  <c r="G137" i="3" s="1"/>
  <c r="F137" i="3" a="1"/>
  <c r="F137" i="3" s="1"/>
  <c r="E137" i="3" a="1"/>
  <c r="E137" i="3" s="1"/>
  <c r="D137" i="3"/>
  <c r="C137" i="3"/>
  <c r="B137" i="3"/>
  <c r="G136" i="3" a="1"/>
  <c r="G136" i="3" s="1"/>
  <c r="F136" i="3" a="1"/>
  <c r="F136" i="3" s="1"/>
  <c r="E136" i="3" a="1"/>
  <c r="E136" i="3" s="1"/>
  <c r="D136" i="3"/>
  <c r="C136" i="3"/>
  <c r="B136" i="3"/>
  <c r="G135" i="3" a="1"/>
  <c r="G135" i="3" s="1"/>
  <c r="F135" i="3" a="1"/>
  <c r="F135" i="3" s="1"/>
  <c r="E135" i="3" a="1"/>
  <c r="E135" i="3" s="1"/>
  <c r="D135" i="3"/>
  <c r="C135" i="3"/>
  <c r="B135" i="3"/>
  <c r="G134" i="3" a="1"/>
  <c r="G134" i="3" s="1"/>
  <c r="F134" i="3" a="1"/>
  <c r="F134" i="3" s="1"/>
  <c r="E134" i="3" a="1"/>
  <c r="E134" i="3" s="1"/>
  <c r="D134" i="3"/>
  <c r="C134" i="3"/>
  <c r="B134" i="3"/>
  <c r="G133" i="3" a="1"/>
  <c r="G133" i="3" s="1"/>
  <c r="F133" i="3" a="1"/>
  <c r="F133" i="3" s="1"/>
  <c r="E133" i="3" a="1"/>
  <c r="E133" i="3" s="1"/>
  <c r="D133" i="3"/>
  <c r="C133" i="3"/>
  <c r="B133" i="3"/>
  <c r="G132" i="3" a="1"/>
  <c r="G132" i="3" s="1"/>
  <c r="F132" i="3" a="1"/>
  <c r="F132" i="3" s="1"/>
  <c r="E132" i="3" a="1"/>
  <c r="E132" i="3" s="1"/>
  <c r="D132" i="3"/>
  <c r="C132" i="3"/>
  <c r="B132" i="3"/>
  <c r="G131" i="3" a="1"/>
  <c r="G131" i="3" s="1"/>
  <c r="F131" i="3" a="1"/>
  <c r="F131" i="3" s="1"/>
  <c r="E131" i="3" a="1"/>
  <c r="E131" i="3" s="1"/>
  <c r="D131" i="3"/>
  <c r="C131" i="3"/>
  <c r="B131" i="3"/>
  <c r="G130" i="3" a="1"/>
  <c r="G130" i="3" s="1"/>
  <c r="F130" i="3" a="1"/>
  <c r="F130" i="3" s="1"/>
  <c r="E130" i="3" a="1"/>
  <c r="E130" i="3" s="1"/>
  <c r="D130" i="3"/>
  <c r="C130" i="3"/>
  <c r="B130" i="3"/>
  <c r="G129" i="3" a="1"/>
  <c r="G129" i="3" s="1"/>
  <c r="F129" i="3" a="1"/>
  <c r="F129" i="3" s="1"/>
  <c r="E129" i="3" a="1"/>
  <c r="E129" i="3" s="1"/>
  <c r="D129" i="3"/>
  <c r="C129" i="3"/>
  <c r="B129" i="3"/>
  <c r="G128" i="3" a="1"/>
  <c r="G128" i="3" s="1"/>
  <c r="F128" i="3" a="1"/>
  <c r="F128" i="3" s="1"/>
  <c r="E128" i="3" a="1"/>
  <c r="E128" i="3" s="1"/>
  <c r="D128" i="3"/>
  <c r="C128" i="3"/>
  <c r="B128" i="3"/>
  <c r="G127" i="3" a="1"/>
  <c r="G127" i="3" s="1"/>
  <c r="F127" i="3" a="1"/>
  <c r="F127" i="3" s="1"/>
  <c r="E127" i="3" a="1"/>
  <c r="E127" i="3" s="1"/>
  <c r="D127" i="3"/>
  <c r="C127" i="3"/>
  <c r="B127" i="3"/>
  <c r="G126" i="3" a="1"/>
  <c r="G126" i="3" s="1"/>
  <c r="F126" i="3" a="1"/>
  <c r="F126" i="3" s="1"/>
  <c r="E126" i="3" a="1"/>
  <c r="E126" i="3" s="1"/>
  <c r="D126" i="3"/>
  <c r="C126" i="3"/>
  <c r="B126" i="3"/>
  <c r="G125" i="3" a="1"/>
  <c r="G125" i="3" s="1"/>
  <c r="F125" i="3" a="1"/>
  <c r="F125" i="3" s="1"/>
  <c r="E125" i="3" a="1"/>
  <c r="E125" i="3" s="1"/>
  <c r="D125" i="3"/>
  <c r="C125" i="3"/>
  <c r="B125" i="3"/>
  <c r="G124" i="3" a="1"/>
  <c r="G124" i="3" s="1"/>
  <c r="F124" i="3" a="1"/>
  <c r="F124" i="3" s="1"/>
  <c r="E124" i="3" a="1"/>
  <c r="E124" i="3" s="1"/>
  <c r="D124" i="3"/>
  <c r="C124" i="3"/>
  <c r="B124" i="3"/>
  <c r="G123" i="3" a="1"/>
  <c r="G123" i="3" s="1"/>
  <c r="F123" i="3" a="1"/>
  <c r="F123" i="3" s="1"/>
  <c r="E123" i="3" a="1"/>
  <c r="E123" i="3" s="1"/>
  <c r="D123" i="3"/>
  <c r="C123" i="3"/>
  <c r="B123" i="3"/>
  <c r="G122" i="3" a="1"/>
  <c r="G122" i="3" s="1"/>
  <c r="F122" i="3" a="1"/>
  <c r="F122" i="3" s="1"/>
  <c r="E122" i="3" a="1"/>
  <c r="E122" i="3" s="1"/>
  <c r="D122" i="3"/>
  <c r="C122" i="3"/>
  <c r="B122" i="3"/>
  <c r="G121" i="3" a="1"/>
  <c r="G121" i="3" s="1"/>
  <c r="F121" i="3" a="1"/>
  <c r="F121" i="3" s="1"/>
  <c r="E121" i="3" a="1"/>
  <c r="E121" i="3" s="1"/>
  <c r="D121" i="3"/>
  <c r="C121" i="3"/>
  <c r="B121" i="3"/>
  <c r="G120" i="3" a="1"/>
  <c r="G120" i="3" s="1"/>
  <c r="F120" i="3" a="1"/>
  <c r="F120" i="3" s="1"/>
  <c r="E120" i="3" a="1"/>
  <c r="E120" i="3" s="1"/>
  <c r="D120" i="3"/>
  <c r="C120" i="3"/>
  <c r="B120" i="3"/>
  <c r="G119" i="3" a="1"/>
  <c r="G119" i="3" s="1"/>
  <c r="F119" i="3" a="1"/>
  <c r="F119" i="3" s="1"/>
  <c r="E119" i="3" a="1"/>
  <c r="E119" i="3" s="1"/>
  <c r="D119" i="3"/>
  <c r="C119" i="3"/>
  <c r="B119" i="3"/>
  <c r="G118" i="3" a="1"/>
  <c r="G118" i="3" s="1"/>
  <c r="F118" i="3" a="1"/>
  <c r="F118" i="3" s="1"/>
  <c r="E118" i="3" a="1"/>
  <c r="E118" i="3" s="1"/>
  <c r="D118" i="3"/>
  <c r="C118" i="3"/>
  <c r="B118" i="3"/>
  <c r="G117" i="3" a="1"/>
  <c r="G117" i="3" s="1"/>
  <c r="F117" i="3" a="1"/>
  <c r="F117" i="3" s="1"/>
  <c r="E117" i="3" a="1"/>
  <c r="E117" i="3" s="1"/>
  <c r="D117" i="3"/>
  <c r="C117" i="3"/>
  <c r="B117" i="3"/>
  <c r="G116" i="3" a="1"/>
  <c r="G116" i="3" s="1"/>
  <c r="F116" i="3" a="1"/>
  <c r="F116" i="3" s="1"/>
  <c r="E116" i="3" a="1"/>
  <c r="E116" i="3" s="1"/>
  <c r="D116" i="3"/>
  <c r="C116" i="3"/>
  <c r="B116" i="3"/>
  <c r="G115" i="3" a="1"/>
  <c r="G115" i="3" s="1"/>
  <c r="F115" i="3" a="1"/>
  <c r="F115" i="3" s="1"/>
  <c r="E115" i="3" a="1"/>
  <c r="E115" i="3" s="1"/>
  <c r="D115" i="3"/>
  <c r="C115" i="3"/>
  <c r="B115" i="3"/>
  <c r="G114" i="3" a="1"/>
  <c r="G114" i="3" s="1"/>
  <c r="F114" i="3" a="1"/>
  <c r="F114" i="3" s="1"/>
  <c r="E114" i="3" a="1"/>
  <c r="E114" i="3" s="1"/>
  <c r="D114" i="3"/>
  <c r="C114" i="3"/>
  <c r="B114" i="3"/>
  <c r="G113" i="3" a="1"/>
  <c r="G113" i="3" s="1"/>
  <c r="F113" i="3" a="1"/>
  <c r="F113" i="3" s="1"/>
  <c r="E113" i="3" a="1"/>
  <c r="E113" i="3" s="1"/>
  <c r="D113" i="3"/>
  <c r="C113" i="3"/>
  <c r="B113" i="3"/>
  <c r="G112" i="3" a="1"/>
  <c r="G112" i="3" s="1"/>
  <c r="F112" i="3" a="1"/>
  <c r="F112" i="3" s="1"/>
  <c r="E112" i="3" a="1"/>
  <c r="E112" i="3" s="1"/>
  <c r="D112" i="3"/>
  <c r="C112" i="3"/>
  <c r="B112" i="3"/>
  <c r="G111" i="3" a="1"/>
  <c r="G111" i="3" s="1"/>
  <c r="F111" i="3" a="1"/>
  <c r="F111" i="3" s="1"/>
  <c r="E111" i="3" a="1"/>
  <c r="E111" i="3" s="1"/>
  <c r="D111" i="3"/>
  <c r="C111" i="3"/>
  <c r="B111" i="3"/>
  <c r="G110" i="3" a="1"/>
  <c r="G110" i="3" s="1"/>
  <c r="F110" i="3" a="1"/>
  <c r="F110" i="3" s="1"/>
  <c r="E110" i="3" a="1"/>
  <c r="E110" i="3" s="1"/>
  <c r="D110" i="3"/>
  <c r="C110" i="3"/>
  <c r="B110" i="3"/>
  <c r="G109" i="3" a="1"/>
  <c r="G109" i="3" s="1"/>
  <c r="F109" i="3" a="1"/>
  <c r="F109" i="3" s="1"/>
  <c r="E109" i="3" a="1"/>
  <c r="E109" i="3" s="1"/>
  <c r="D109" i="3"/>
  <c r="C109" i="3"/>
  <c r="B109" i="3"/>
  <c r="G108" i="3" a="1"/>
  <c r="G108" i="3" s="1"/>
  <c r="F108" i="3" a="1"/>
  <c r="F108" i="3" s="1"/>
  <c r="E108" i="3" a="1"/>
  <c r="E108" i="3" s="1"/>
  <c r="D108" i="3"/>
  <c r="C108" i="3"/>
  <c r="B108" i="3"/>
  <c r="G107" i="3" a="1"/>
  <c r="G107" i="3" s="1"/>
  <c r="F107" i="3" a="1"/>
  <c r="F107" i="3" s="1"/>
  <c r="E107" i="3" a="1"/>
  <c r="E107" i="3" s="1"/>
  <c r="D107" i="3"/>
  <c r="C107" i="3"/>
  <c r="B107" i="3"/>
  <c r="G106" i="3" a="1"/>
  <c r="G106" i="3" s="1"/>
  <c r="F106" i="3" a="1"/>
  <c r="F106" i="3" s="1"/>
  <c r="E106" i="3" a="1"/>
  <c r="E106" i="3" s="1"/>
  <c r="D106" i="3"/>
  <c r="C106" i="3"/>
  <c r="B106" i="3"/>
  <c r="G105" i="3" a="1"/>
  <c r="G105" i="3" s="1"/>
  <c r="F105" i="3" a="1"/>
  <c r="F105" i="3" s="1"/>
  <c r="E105" i="3" a="1"/>
  <c r="E105" i="3" s="1"/>
  <c r="D105" i="3"/>
  <c r="C105" i="3"/>
  <c r="B105" i="3"/>
  <c r="G104" i="3" a="1"/>
  <c r="G104" i="3" s="1"/>
  <c r="F104" i="3" a="1"/>
  <c r="F104" i="3" s="1"/>
  <c r="E104" i="3" a="1"/>
  <c r="E104" i="3" s="1"/>
  <c r="D104" i="3"/>
  <c r="C104" i="3"/>
  <c r="B104" i="3"/>
  <c r="G103" i="3" a="1"/>
  <c r="G103" i="3" s="1"/>
  <c r="F103" i="3" a="1"/>
  <c r="F103" i="3" s="1"/>
  <c r="E103" i="3" a="1"/>
  <c r="E103" i="3" s="1"/>
  <c r="D103" i="3"/>
  <c r="C103" i="3"/>
  <c r="B103" i="3"/>
  <c r="G102" i="3" a="1"/>
  <c r="G102" i="3" s="1"/>
  <c r="F102" i="3" a="1"/>
  <c r="F102" i="3" s="1"/>
  <c r="E102" i="3" a="1"/>
  <c r="E102" i="3" s="1"/>
  <c r="D102" i="3"/>
  <c r="C102" i="3"/>
  <c r="B102" i="3"/>
  <c r="G101" i="3" a="1"/>
  <c r="G101" i="3" s="1"/>
  <c r="F101" i="3" a="1"/>
  <c r="F101" i="3" s="1"/>
  <c r="E101" i="3" a="1"/>
  <c r="E101" i="3" s="1"/>
  <c r="D101" i="3"/>
  <c r="C101" i="3"/>
  <c r="B101" i="3"/>
  <c r="G100" i="3" a="1"/>
  <c r="G100" i="3" s="1"/>
  <c r="F100" i="3" a="1"/>
  <c r="F100" i="3" s="1"/>
  <c r="E100" i="3" a="1"/>
  <c r="E100" i="3" s="1"/>
  <c r="D100" i="3"/>
  <c r="C100" i="3"/>
  <c r="B100" i="3"/>
  <c r="G99" i="3" a="1"/>
  <c r="G99" i="3" s="1"/>
  <c r="F99" i="3" a="1"/>
  <c r="F99" i="3" s="1"/>
  <c r="E99" i="3" a="1"/>
  <c r="E99" i="3" s="1"/>
  <c r="D99" i="3"/>
  <c r="C99" i="3"/>
  <c r="B99" i="3"/>
  <c r="G98" i="3" a="1"/>
  <c r="G98" i="3" s="1"/>
  <c r="F98" i="3" a="1"/>
  <c r="F98" i="3" s="1"/>
  <c r="E98" i="3" a="1"/>
  <c r="E98" i="3" s="1"/>
  <c r="D98" i="3"/>
  <c r="C98" i="3"/>
  <c r="B98" i="3"/>
  <c r="G97" i="3" a="1"/>
  <c r="G97" i="3" s="1"/>
  <c r="F97" i="3" a="1"/>
  <c r="F97" i="3" s="1"/>
  <c r="E97" i="3" a="1"/>
  <c r="E97" i="3" s="1"/>
  <c r="D97" i="3"/>
  <c r="C97" i="3"/>
  <c r="B97" i="3"/>
  <c r="G96" i="3" a="1"/>
  <c r="G96" i="3" s="1"/>
  <c r="F96" i="3" a="1"/>
  <c r="F96" i="3" s="1"/>
  <c r="E96" i="3" a="1"/>
  <c r="E96" i="3" s="1"/>
  <c r="D96" i="3"/>
  <c r="C96" i="3"/>
  <c r="B96" i="3"/>
  <c r="G95" i="3" a="1"/>
  <c r="G95" i="3" s="1"/>
  <c r="F95" i="3" a="1"/>
  <c r="F95" i="3" s="1"/>
  <c r="E95" i="3" a="1"/>
  <c r="E95" i="3" s="1"/>
  <c r="D95" i="3"/>
  <c r="C95" i="3"/>
  <c r="B95" i="3"/>
  <c r="G94" i="3" a="1"/>
  <c r="G94" i="3" s="1"/>
  <c r="F94" i="3" a="1"/>
  <c r="F94" i="3" s="1"/>
  <c r="E94" i="3" a="1"/>
  <c r="E94" i="3" s="1"/>
  <c r="D94" i="3"/>
  <c r="C94" i="3"/>
  <c r="B94" i="3"/>
  <c r="G93" i="3" a="1"/>
  <c r="G93" i="3" s="1"/>
  <c r="F93" i="3" a="1"/>
  <c r="F93" i="3" s="1"/>
  <c r="E93" i="3" a="1"/>
  <c r="E93" i="3" s="1"/>
  <c r="D93" i="3"/>
  <c r="C93" i="3"/>
  <c r="B93" i="3"/>
  <c r="G92" i="3" a="1"/>
  <c r="G92" i="3" s="1"/>
  <c r="F92" i="3" a="1"/>
  <c r="F92" i="3" s="1"/>
  <c r="E92" i="3" a="1"/>
  <c r="E92" i="3" s="1"/>
  <c r="D92" i="3"/>
  <c r="C92" i="3"/>
  <c r="B92" i="3"/>
  <c r="G91" i="3" a="1"/>
  <c r="G91" i="3" s="1"/>
  <c r="F91" i="3" a="1"/>
  <c r="F91" i="3" s="1"/>
  <c r="E91" i="3" a="1"/>
  <c r="E91" i="3" s="1"/>
  <c r="D91" i="3"/>
  <c r="C91" i="3"/>
  <c r="B91" i="3"/>
  <c r="G90" i="3" a="1"/>
  <c r="G90" i="3" s="1"/>
  <c r="F90" i="3" a="1"/>
  <c r="F90" i="3" s="1"/>
  <c r="E90" i="3" a="1"/>
  <c r="E90" i="3" s="1"/>
  <c r="D90" i="3"/>
  <c r="C90" i="3"/>
  <c r="B90" i="3"/>
  <c r="G89" i="3" a="1"/>
  <c r="G89" i="3" s="1"/>
  <c r="F89" i="3" a="1"/>
  <c r="F89" i="3" s="1"/>
  <c r="E89" i="3" a="1"/>
  <c r="E89" i="3" s="1"/>
  <c r="D89" i="3"/>
  <c r="C89" i="3"/>
  <c r="B89" i="3"/>
  <c r="G88" i="3" a="1"/>
  <c r="G88" i="3" s="1"/>
  <c r="F88" i="3" a="1"/>
  <c r="F88" i="3" s="1"/>
  <c r="E88" i="3" a="1"/>
  <c r="E88" i="3" s="1"/>
  <c r="D88" i="3"/>
  <c r="C88" i="3"/>
  <c r="B88" i="3"/>
  <c r="G87" i="3" a="1"/>
  <c r="G87" i="3" s="1"/>
  <c r="F87" i="3" a="1"/>
  <c r="F87" i="3" s="1"/>
  <c r="E87" i="3" a="1"/>
  <c r="E87" i="3" s="1"/>
  <c r="D87" i="3"/>
  <c r="C87" i="3"/>
  <c r="B87" i="3"/>
  <c r="G86" i="3" a="1"/>
  <c r="G86" i="3" s="1"/>
  <c r="F86" i="3" a="1"/>
  <c r="F86" i="3" s="1"/>
  <c r="E86" i="3" a="1"/>
  <c r="E86" i="3" s="1"/>
  <c r="D86" i="3"/>
  <c r="C86" i="3"/>
  <c r="B86" i="3"/>
  <c r="G85" i="3" a="1"/>
  <c r="G85" i="3" s="1"/>
  <c r="F85" i="3" a="1"/>
  <c r="F85" i="3" s="1"/>
  <c r="E85" i="3" a="1"/>
  <c r="E85" i="3" s="1"/>
  <c r="D85" i="3"/>
  <c r="C85" i="3"/>
  <c r="B85" i="3"/>
  <c r="G84" i="3" a="1"/>
  <c r="G84" i="3" s="1"/>
  <c r="F84" i="3" a="1"/>
  <c r="F84" i="3" s="1"/>
  <c r="E84" i="3" a="1"/>
  <c r="E84" i="3" s="1"/>
  <c r="D84" i="3"/>
  <c r="C84" i="3"/>
  <c r="B84" i="3"/>
  <c r="G83" i="3" a="1"/>
  <c r="G83" i="3" s="1"/>
  <c r="F83" i="3" a="1"/>
  <c r="F83" i="3" s="1"/>
  <c r="E83" i="3" a="1"/>
  <c r="E83" i="3" s="1"/>
  <c r="D83" i="3"/>
  <c r="C83" i="3"/>
  <c r="B83" i="3"/>
  <c r="G82" i="3" a="1"/>
  <c r="G82" i="3" s="1"/>
  <c r="F82" i="3" a="1"/>
  <c r="F82" i="3" s="1"/>
  <c r="E82" i="3" a="1"/>
  <c r="E82" i="3" s="1"/>
  <c r="D82" i="3"/>
  <c r="C82" i="3"/>
  <c r="B82" i="3"/>
  <c r="G81" i="3" a="1"/>
  <c r="G81" i="3" s="1"/>
  <c r="F81" i="3" a="1"/>
  <c r="F81" i="3" s="1"/>
  <c r="E81" i="3" a="1"/>
  <c r="E81" i="3" s="1"/>
  <c r="D81" i="3"/>
  <c r="C81" i="3"/>
  <c r="B81" i="3"/>
  <c r="G80" i="3" a="1"/>
  <c r="G80" i="3" s="1"/>
  <c r="F80" i="3" a="1"/>
  <c r="F80" i="3" s="1"/>
  <c r="E80" i="3" a="1"/>
  <c r="E80" i="3" s="1"/>
  <c r="D80" i="3"/>
  <c r="C80" i="3"/>
  <c r="B80" i="3"/>
  <c r="G79" i="3" a="1"/>
  <c r="G79" i="3" s="1"/>
  <c r="F79" i="3" a="1"/>
  <c r="F79" i="3" s="1"/>
  <c r="E79" i="3" a="1"/>
  <c r="E79" i="3" s="1"/>
  <c r="D79" i="3"/>
  <c r="C79" i="3"/>
  <c r="B79" i="3"/>
  <c r="G78" i="3" a="1"/>
  <c r="G78" i="3" s="1"/>
  <c r="F78" i="3" a="1"/>
  <c r="F78" i="3" s="1"/>
  <c r="E78" i="3" a="1"/>
  <c r="E78" i="3" s="1"/>
  <c r="D78" i="3"/>
  <c r="C78" i="3"/>
  <c r="B78" i="3"/>
  <c r="G77" i="3" a="1"/>
  <c r="G77" i="3" s="1"/>
  <c r="F77" i="3" a="1"/>
  <c r="F77" i="3" s="1"/>
  <c r="E77" i="3" a="1"/>
  <c r="E77" i="3" s="1"/>
  <c r="D77" i="3"/>
  <c r="C77" i="3"/>
  <c r="B77" i="3"/>
  <c r="G76" i="3" a="1"/>
  <c r="G76" i="3" s="1"/>
  <c r="F76" i="3" a="1"/>
  <c r="F76" i="3" s="1"/>
  <c r="E76" i="3" a="1"/>
  <c r="E76" i="3" s="1"/>
  <c r="D76" i="3"/>
  <c r="C76" i="3"/>
  <c r="B76" i="3"/>
  <c r="G75" i="3" a="1"/>
  <c r="G75" i="3" s="1"/>
  <c r="F75" i="3" a="1"/>
  <c r="F75" i="3" s="1"/>
  <c r="E75" i="3" a="1"/>
  <c r="E75" i="3" s="1"/>
  <c r="D75" i="3"/>
  <c r="C75" i="3"/>
  <c r="B75" i="3"/>
  <c r="G74" i="3" a="1"/>
  <c r="G74" i="3" s="1"/>
  <c r="F74" i="3" a="1"/>
  <c r="F74" i="3" s="1"/>
  <c r="E74" i="3" a="1"/>
  <c r="E74" i="3" s="1"/>
  <c r="D74" i="3"/>
  <c r="C74" i="3"/>
  <c r="B74" i="3"/>
  <c r="G73" i="3" a="1"/>
  <c r="G73" i="3" s="1"/>
  <c r="F73" i="3" a="1"/>
  <c r="F73" i="3" s="1"/>
  <c r="E73" i="3" a="1"/>
  <c r="E73" i="3" s="1"/>
  <c r="D73" i="3"/>
  <c r="C73" i="3"/>
  <c r="B73" i="3"/>
  <c r="G72" i="3" a="1"/>
  <c r="G72" i="3" s="1"/>
  <c r="F72" i="3" a="1"/>
  <c r="F72" i="3" s="1"/>
  <c r="E72" i="3" a="1"/>
  <c r="E72" i="3" s="1"/>
  <c r="D72" i="3"/>
  <c r="C72" i="3"/>
  <c r="B72" i="3"/>
  <c r="G71" i="3" a="1"/>
  <c r="G71" i="3" s="1"/>
  <c r="F71" i="3" a="1"/>
  <c r="F71" i="3" s="1"/>
  <c r="E71" i="3" a="1"/>
  <c r="E71" i="3" s="1"/>
  <c r="D71" i="3"/>
  <c r="C71" i="3"/>
  <c r="B71" i="3"/>
  <c r="G70" i="3" a="1"/>
  <c r="G70" i="3" s="1"/>
  <c r="F70" i="3" a="1"/>
  <c r="F70" i="3" s="1"/>
  <c r="E70" i="3" a="1"/>
  <c r="E70" i="3" s="1"/>
  <c r="D70" i="3"/>
  <c r="C70" i="3"/>
  <c r="B70" i="3"/>
  <c r="G69" i="3" a="1"/>
  <c r="G69" i="3" s="1"/>
  <c r="F69" i="3" a="1"/>
  <c r="F69" i="3" s="1"/>
  <c r="E69" i="3" a="1"/>
  <c r="E69" i="3" s="1"/>
  <c r="D69" i="3"/>
  <c r="C69" i="3"/>
  <c r="B69" i="3"/>
  <c r="G68" i="3" a="1"/>
  <c r="G68" i="3" s="1"/>
  <c r="F68" i="3" a="1"/>
  <c r="F68" i="3" s="1"/>
  <c r="E68" i="3" a="1"/>
  <c r="E68" i="3" s="1"/>
  <c r="D68" i="3"/>
  <c r="C68" i="3"/>
  <c r="B68" i="3"/>
  <c r="G67" i="3" a="1"/>
  <c r="G67" i="3" s="1"/>
  <c r="F67" i="3" a="1"/>
  <c r="F67" i="3" s="1"/>
  <c r="E67" i="3" a="1"/>
  <c r="E67" i="3" s="1"/>
  <c r="D67" i="3"/>
  <c r="C67" i="3"/>
  <c r="B67" i="3"/>
  <c r="G66" i="3" a="1"/>
  <c r="G66" i="3" s="1"/>
  <c r="F66" i="3" a="1"/>
  <c r="F66" i="3" s="1"/>
  <c r="E66" i="3" a="1"/>
  <c r="E66" i="3" s="1"/>
  <c r="D66" i="3"/>
  <c r="C66" i="3"/>
  <c r="B66" i="3"/>
  <c r="G65" i="3" a="1"/>
  <c r="G65" i="3" s="1"/>
  <c r="F65" i="3" a="1"/>
  <c r="F65" i="3" s="1"/>
  <c r="E65" i="3" a="1"/>
  <c r="E65" i="3" s="1"/>
  <c r="D65" i="3"/>
  <c r="C65" i="3"/>
  <c r="B65" i="3"/>
  <c r="G64" i="3" a="1"/>
  <c r="G64" i="3" s="1"/>
  <c r="F64" i="3" a="1"/>
  <c r="F64" i="3" s="1"/>
  <c r="E64" i="3" a="1"/>
  <c r="E64" i="3" s="1"/>
  <c r="D64" i="3"/>
  <c r="C64" i="3"/>
  <c r="B64" i="3"/>
  <c r="G63" i="3" a="1"/>
  <c r="G63" i="3" s="1"/>
  <c r="F63" i="3" a="1"/>
  <c r="F63" i="3" s="1"/>
  <c r="E63" i="3" a="1"/>
  <c r="E63" i="3" s="1"/>
  <c r="D63" i="3"/>
  <c r="C63" i="3"/>
  <c r="B63" i="3"/>
  <c r="G62" i="3" a="1"/>
  <c r="G62" i="3" s="1"/>
  <c r="F62" i="3" a="1"/>
  <c r="F62" i="3" s="1"/>
  <c r="E62" i="3" a="1"/>
  <c r="E62" i="3" s="1"/>
  <c r="D62" i="3"/>
  <c r="C62" i="3"/>
  <c r="B62" i="3"/>
  <c r="G61" i="3" a="1"/>
  <c r="G61" i="3" s="1"/>
  <c r="F61" i="3" a="1"/>
  <c r="F61" i="3" s="1"/>
  <c r="E61" i="3" a="1"/>
  <c r="E61" i="3" s="1"/>
  <c r="D61" i="3"/>
  <c r="C61" i="3"/>
  <c r="B61" i="3"/>
  <c r="G60" i="3" a="1"/>
  <c r="G60" i="3" s="1"/>
  <c r="F60" i="3" a="1"/>
  <c r="F60" i="3" s="1"/>
  <c r="E60" i="3" a="1"/>
  <c r="E60" i="3" s="1"/>
  <c r="D60" i="3"/>
  <c r="C60" i="3"/>
  <c r="B60" i="3"/>
  <c r="G59" i="3" a="1"/>
  <c r="G59" i="3" s="1"/>
  <c r="F59" i="3" a="1"/>
  <c r="F59" i="3" s="1"/>
  <c r="E59" i="3" a="1"/>
  <c r="E59" i="3" s="1"/>
  <c r="D59" i="3"/>
  <c r="C59" i="3"/>
  <c r="B59" i="3"/>
  <c r="G58" i="3" a="1"/>
  <c r="G58" i="3" s="1"/>
  <c r="F58" i="3" a="1"/>
  <c r="F58" i="3" s="1"/>
  <c r="E58" i="3" a="1"/>
  <c r="E58" i="3" s="1"/>
  <c r="D58" i="3"/>
  <c r="C58" i="3"/>
  <c r="B58" i="3"/>
  <c r="G57" i="3" a="1"/>
  <c r="G57" i="3" s="1"/>
  <c r="F57" i="3" a="1"/>
  <c r="F57" i="3" s="1"/>
  <c r="E57" i="3" a="1"/>
  <c r="E57" i="3" s="1"/>
  <c r="D57" i="3"/>
  <c r="C57" i="3"/>
  <c r="B57" i="3"/>
  <c r="G56" i="3" a="1"/>
  <c r="G56" i="3" s="1"/>
  <c r="F56" i="3" a="1"/>
  <c r="F56" i="3" s="1"/>
  <c r="E56" i="3" a="1"/>
  <c r="E56" i="3" s="1"/>
  <c r="D56" i="3"/>
  <c r="C56" i="3"/>
  <c r="B56" i="3"/>
  <c r="G55" i="3" a="1"/>
  <c r="G55" i="3" s="1"/>
  <c r="F55" i="3" a="1"/>
  <c r="F55" i="3" s="1"/>
  <c r="E55" i="3" a="1"/>
  <c r="E55" i="3" s="1"/>
  <c r="D55" i="3"/>
  <c r="C55" i="3"/>
  <c r="B55" i="3"/>
  <c r="G54" i="3" a="1"/>
  <c r="G54" i="3" s="1"/>
  <c r="F54" i="3" a="1"/>
  <c r="F54" i="3" s="1"/>
  <c r="E54" i="3" a="1"/>
  <c r="E54" i="3" s="1"/>
  <c r="D54" i="3"/>
  <c r="C54" i="3"/>
  <c r="B54" i="3"/>
  <c r="G53" i="3" a="1"/>
  <c r="G53" i="3" s="1"/>
  <c r="F53" i="3" a="1"/>
  <c r="F53" i="3" s="1"/>
  <c r="E53" i="3" a="1"/>
  <c r="E53" i="3" s="1"/>
  <c r="D53" i="3"/>
  <c r="C53" i="3"/>
  <c r="B53" i="3"/>
  <c r="G52" i="3" a="1"/>
  <c r="G52" i="3" s="1"/>
  <c r="F52" i="3" a="1"/>
  <c r="F52" i="3" s="1"/>
  <c r="E52" i="3" a="1"/>
  <c r="E52" i="3" s="1"/>
  <c r="D52" i="3"/>
  <c r="C52" i="3"/>
  <c r="B52" i="3"/>
  <c r="G51" i="3" a="1"/>
  <c r="G51" i="3" s="1"/>
  <c r="F51" i="3" a="1"/>
  <c r="F51" i="3" s="1"/>
  <c r="E51" i="3" a="1"/>
  <c r="E51" i="3" s="1"/>
  <c r="D51" i="3"/>
  <c r="C51" i="3"/>
  <c r="B51" i="3"/>
  <c r="G50" i="3" a="1"/>
  <c r="G50" i="3" s="1"/>
  <c r="F50" i="3" a="1"/>
  <c r="F50" i="3" s="1"/>
  <c r="E50" i="3" a="1"/>
  <c r="E50" i="3" s="1"/>
  <c r="D50" i="3"/>
  <c r="C50" i="3"/>
  <c r="B50" i="3"/>
  <c r="G49" i="3" a="1"/>
  <c r="G49" i="3" s="1"/>
  <c r="F49" i="3" a="1"/>
  <c r="F49" i="3" s="1"/>
  <c r="E49" i="3" a="1"/>
  <c r="E49" i="3" s="1"/>
  <c r="D49" i="3"/>
  <c r="C49" i="3"/>
  <c r="B49" i="3"/>
  <c r="G48" i="3" a="1"/>
  <c r="G48" i="3" s="1"/>
  <c r="F48" i="3" a="1"/>
  <c r="F48" i="3" s="1"/>
  <c r="E48" i="3" a="1"/>
  <c r="E48" i="3" s="1"/>
  <c r="D48" i="3"/>
  <c r="C48" i="3"/>
  <c r="B48" i="3"/>
  <c r="G47" i="3" a="1"/>
  <c r="G47" i="3" s="1"/>
  <c r="F47" i="3" a="1"/>
  <c r="F47" i="3" s="1"/>
  <c r="E47" i="3" a="1"/>
  <c r="E47" i="3" s="1"/>
  <c r="D47" i="3"/>
  <c r="C47" i="3"/>
  <c r="B47" i="3"/>
  <c r="G46" i="3" a="1"/>
  <c r="G46" i="3" s="1"/>
  <c r="F46" i="3" a="1"/>
  <c r="F46" i="3" s="1"/>
  <c r="E46" i="3" a="1"/>
  <c r="E46" i="3" s="1"/>
  <c r="D46" i="3"/>
  <c r="C46" i="3"/>
  <c r="B46" i="3"/>
  <c r="G45" i="3" a="1"/>
  <c r="G45" i="3" s="1"/>
  <c r="F45" i="3" a="1"/>
  <c r="F45" i="3" s="1"/>
  <c r="E45" i="3" a="1"/>
  <c r="E45" i="3" s="1"/>
  <c r="D45" i="3"/>
  <c r="C45" i="3"/>
  <c r="B45" i="3"/>
  <c r="G44" i="3" a="1"/>
  <c r="G44" i="3" s="1"/>
  <c r="F44" i="3" a="1"/>
  <c r="F44" i="3" s="1"/>
  <c r="E44" i="3" a="1"/>
  <c r="E44" i="3" s="1"/>
  <c r="D44" i="3"/>
  <c r="C44" i="3"/>
  <c r="B44" i="3"/>
  <c r="G43" i="3" a="1"/>
  <c r="G43" i="3" s="1"/>
  <c r="F43" i="3" a="1"/>
  <c r="F43" i="3" s="1"/>
  <c r="E43" i="3" a="1"/>
  <c r="E43" i="3" s="1"/>
  <c r="D43" i="3"/>
  <c r="C43" i="3"/>
  <c r="B43" i="3"/>
  <c r="G42" i="3" a="1"/>
  <c r="G42" i="3" s="1"/>
  <c r="F42" i="3" a="1"/>
  <c r="F42" i="3" s="1"/>
  <c r="E42" i="3" a="1"/>
  <c r="E42" i="3" s="1"/>
  <c r="D42" i="3"/>
  <c r="C42" i="3"/>
  <c r="B42" i="3"/>
  <c r="G41" i="3" a="1"/>
  <c r="G41" i="3" s="1"/>
  <c r="F41" i="3" a="1"/>
  <c r="F41" i="3" s="1"/>
  <c r="E41" i="3" a="1"/>
  <c r="E41" i="3" s="1"/>
  <c r="D41" i="3"/>
  <c r="C41" i="3"/>
  <c r="B41" i="3"/>
  <c r="G40" i="3" a="1"/>
  <c r="G40" i="3" s="1"/>
  <c r="F40" i="3" a="1"/>
  <c r="F40" i="3" s="1"/>
  <c r="E40" i="3" a="1"/>
  <c r="E40" i="3" s="1"/>
  <c r="D40" i="3"/>
  <c r="C40" i="3"/>
  <c r="B40" i="3"/>
  <c r="G39" i="3" a="1"/>
  <c r="G39" i="3" s="1"/>
  <c r="F39" i="3" a="1"/>
  <c r="F39" i="3" s="1"/>
  <c r="E39" i="3" a="1"/>
  <c r="E39" i="3" s="1"/>
  <c r="D39" i="3"/>
  <c r="C39" i="3"/>
  <c r="B39" i="3"/>
  <c r="G38" i="3" a="1"/>
  <c r="G38" i="3" s="1"/>
  <c r="F38" i="3" a="1"/>
  <c r="F38" i="3" s="1"/>
  <c r="E38" i="3" a="1"/>
  <c r="E38" i="3" s="1"/>
  <c r="D38" i="3"/>
  <c r="C38" i="3"/>
  <c r="B38" i="3"/>
  <c r="G37" i="3" a="1"/>
  <c r="G37" i="3" s="1"/>
  <c r="F37" i="3" a="1"/>
  <c r="F37" i="3" s="1"/>
  <c r="E37" i="3" a="1"/>
  <c r="E37" i="3" s="1"/>
  <c r="D37" i="3"/>
  <c r="C37" i="3"/>
  <c r="B37" i="3"/>
  <c r="G36" i="3" a="1"/>
  <c r="G36" i="3" s="1"/>
  <c r="F36" i="3" a="1"/>
  <c r="F36" i="3" s="1"/>
  <c r="E36" i="3" a="1"/>
  <c r="E36" i="3" s="1"/>
  <c r="D36" i="3"/>
  <c r="C36" i="3"/>
  <c r="B36" i="3"/>
  <c r="G35" i="3" a="1"/>
  <c r="G35" i="3" s="1"/>
  <c r="F35" i="3" a="1"/>
  <c r="F35" i="3" s="1"/>
  <c r="E35" i="3" a="1"/>
  <c r="E35" i="3" s="1"/>
  <c r="D35" i="3"/>
  <c r="C35" i="3"/>
  <c r="B35" i="3"/>
  <c r="G34" i="3" a="1"/>
  <c r="G34" i="3" s="1"/>
  <c r="F34" i="3" a="1"/>
  <c r="F34" i="3" s="1"/>
  <c r="E34" i="3" a="1"/>
  <c r="E34" i="3" s="1"/>
  <c r="D34" i="3"/>
  <c r="G6" i="4" s="1"/>
  <c r="C34" i="3"/>
  <c r="B34" i="3"/>
  <c r="G33" i="3" a="1"/>
  <c r="G33" i="3" s="1"/>
  <c r="F33" i="3" a="1"/>
  <c r="F33" i="3" s="1"/>
  <c r="E33" i="3" a="1"/>
  <c r="E33" i="3" s="1"/>
  <c r="D33" i="3"/>
  <c r="C33" i="3"/>
  <c r="B33" i="3"/>
  <c r="G32" i="3" a="1"/>
  <c r="G32" i="3" s="1"/>
  <c r="F32" i="3" a="1"/>
  <c r="F32" i="3" s="1"/>
  <c r="E32" i="3" a="1"/>
  <c r="E32" i="3" s="1"/>
  <c r="D32" i="3"/>
  <c r="C32" i="3"/>
  <c r="B32" i="3"/>
  <c r="G31" i="3" a="1"/>
  <c r="G31" i="3" s="1"/>
  <c r="F31" i="3" a="1"/>
  <c r="F31" i="3" s="1"/>
  <c r="E31" i="3" a="1"/>
  <c r="E31" i="3" s="1"/>
  <c r="D31" i="3"/>
  <c r="C31" i="3"/>
  <c r="B31" i="3"/>
  <c r="G30" i="3" a="1"/>
  <c r="G30" i="3" s="1"/>
  <c r="F30" i="3" a="1"/>
  <c r="F30" i="3" s="1"/>
  <c r="E30" i="3" a="1"/>
  <c r="E30" i="3" s="1"/>
  <c r="D30" i="3"/>
  <c r="C30" i="3"/>
  <c r="B30" i="3"/>
  <c r="G29" i="3" a="1"/>
  <c r="G29" i="3" s="1"/>
  <c r="F29" i="3" a="1"/>
  <c r="F29" i="3" s="1"/>
  <c r="E29" i="3" a="1"/>
  <c r="E29" i="3" s="1"/>
  <c r="D29" i="3"/>
  <c r="C29" i="3"/>
  <c r="B29" i="3"/>
  <c r="G28" i="3" a="1"/>
  <c r="G28" i="3" s="1"/>
  <c r="F28" i="3" a="1"/>
  <c r="F28" i="3" s="1"/>
  <c r="E28" i="3" a="1"/>
  <c r="E28" i="3" s="1"/>
  <c r="D28" i="3"/>
  <c r="G5" i="4" s="1"/>
  <c r="C28" i="3"/>
  <c r="B28" i="3"/>
  <c r="G27" i="3" a="1"/>
  <c r="G27" i="3" s="1"/>
  <c r="F27" i="3" a="1"/>
  <c r="F27" i="3" s="1"/>
  <c r="E27" i="3" a="1"/>
  <c r="E27" i="3" s="1"/>
  <c r="D27" i="3"/>
  <c r="C27" i="3"/>
  <c r="B27" i="3"/>
  <c r="G26" i="3" a="1"/>
  <c r="G26" i="3" s="1"/>
  <c r="F26" i="3" a="1"/>
  <c r="F26" i="3" s="1"/>
  <c r="E26" i="3" a="1"/>
  <c r="E26" i="3" s="1"/>
  <c r="D26" i="3"/>
  <c r="C26" i="3"/>
  <c r="B26" i="3"/>
  <c r="G25" i="3" a="1"/>
  <c r="G25" i="3" s="1"/>
  <c r="F25" i="3" a="1"/>
  <c r="F25" i="3" s="1"/>
  <c r="E25" i="3" a="1"/>
  <c r="E25" i="3" s="1"/>
  <c r="D25" i="3"/>
  <c r="C25" i="3"/>
  <c r="B25" i="3"/>
  <c r="G24" i="3" a="1"/>
  <c r="G24" i="3" s="1"/>
  <c r="F24" i="3" a="1"/>
  <c r="F24" i="3" s="1"/>
  <c r="E24" i="3" a="1"/>
  <c r="E24" i="3" s="1"/>
  <c r="D24" i="3"/>
  <c r="C24" i="3"/>
  <c r="B24" i="3"/>
  <c r="G23" i="3" a="1"/>
  <c r="G23" i="3" s="1"/>
  <c r="F23" i="3" a="1"/>
  <c r="F23" i="3" s="1"/>
  <c r="E23" i="3" a="1"/>
  <c r="E23" i="3" s="1"/>
  <c r="D23" i="3"/>
  <c r="C23" i="3"/>
  <c r="B23" i="3"/>
  <c r="G22" i="3" a="1"/>
  <c r="G22" i="3" s="1"/>
  <c r="F22" i="3" a="1"/>
  <c r="F22" i="3" s="1"/>
  <c r="E22" i="3" a="1"/>
  <c r="E22" i="3" s="1"/>
  <c r="D22" i="3"/>
  <c r="C22" i="3"/>
  <c r="B22" i="3"/>
  <c r="G21" i="3" a="1"/>
  <c r="G21" i="3" s="1"/>
  <c r="F21" i="3" a="1"/>
  <c r="F21" i="3" s="1"/>
  <c r="E21" i="3" a="1"/>
  <c r="E21" i="3" s="1"/>
  <c r="D21" i="3"/>
  <c r="C21" i="3"/>
  <c r="B21" i="3"/>
  <c r="G20" i="3" a="1"/>
  <c r="G20" i="3" s="1"/>
  <c r="F20" i="3" a="1"/>
  <c r="F20" i="3" s="1"/>
  <c r="E20" i="3" a="1"/>
  <c r="E20" i="3" s="1"/>
  <c r="D20" i="3"/>
  <c r="C20" i="3"/>
  <c r="B20" i="3"/>
  <c r="G19" i="3" a="1"/>
  <c r="G19" i="3" s="1"/>
  <c r="F19" i="3" a="1"/>
  <c r="F19" i="3" s="1"/>
  <c r="E19" i="3" a="1"/>
  <c r="E19" i="3" s="1"/>
  <c r="D19" i="3"/>
  <c r="C19" i="3"/>
  <c r="B19" i="3"/>
  <c r="G18" i="3" a="1"/>
  <c r="G18" i="3" s="1"/>
  <c r="F18" i="3" a="1"/>
  <c r="F18" i="3" s="1"/>
  <c r="E18" i="3" a="1"/>
  <c r="E18" i="3" s="1"/>
  <c r="D18" i="3"/>
  <c r="C18" i="3"/>
  <c r="B18" i="3"/>
  <c r="G17" i="3" a="1"/>
  <c r="G17" i="3" s="1"/>
  <c r="F17" i="3" a="1"/>
  <c r="F17" i="3" s="1"/>
  <c r="E17" i="3" a="1"/>
  <c r="E17" i="3" s="1"/>
  <c r="D17" i="3"/>
  <c r="C17" i="3"/>
  <c r="B17" i="3"/>
  <c r="G16" i="3" a="1"/>
  <c r="G16" i="3" s="1"/>
  <c r="F16" i="3" a="1"/>
  <c r="F16" i="3" s="1"/>
  <c r="E16" i="3" a="1"/>
  <c r="E16" i="3" s="1"/>
  <c r="D16" i="3"/>
  <c r="C16" i="3"/>
  <c r="B16" i="3"/>
  <c r="G15" i="3" a="1"/>
  <c r="G15" i="3" s="1"/>
  <c r="F15" i="3" a="1"/>
  <c r="F15" i="3" s="1"/>
  <c r="E15" i="3" a="1"/>
  <c r="E15" i="3" s="1"/>
  <c r="D15" i="3"/>
  <c r="C15" i="3"/>
  <c r="B15" i="3"/>
  <c r="G14" i="3" a="1"/>
  <c r="G14" i="3" s="1"/>
  <c r="F14" i="3" a="1"/>
  <c r="F14" i="3" s="1"/>
  <c r="E14" i="3" a="1"/>
  <c r="E14" i="3" s="1"/>
  <c r="D14" i="3"/>
  <c r="C14" i="3"/>
  <c r="B14" i="3"/>
  <c r="G13" i="3" a="1"/>
  <c r="G13" i="3" s="1"/>
  <c r="F13" i="3" a="1"/>
  <c r="F13" i="3" s="1"/>
  <c r="E13" i="3" a="1"/>
  <c r="E13" i="3" s="1"/>
  <c r="D13" i="3"/>
  <c r="C13" i="3"/>
  <c r="B13" i="3"/>
  <c r="G12" i="3" a="1"/>
  <c r="G12" i="3" s="1"/>
  <c r="F12" i="3" a="1"/>
  <c r="F12" i="3" s="1"/>
  <c r="E12" i="3" a="1"/>
  <c r="E12" i="3" s="1"/>
  <c r="D12" i="3"/>
  <c r="C12" i="3"/>
  <c r="B12" i="3"/>
  <c r="G11" i="3" a="1"/>
  <c r="G11" i="3" s="1"/>
  <c r="F11" i="3" a="1"/>
  <c r="F11" i="3" s="1"/>
  <c r="E11" i="3" a="1"/>
  <c r="E11" i="3" s="1"/>
  <c r="D11" i="3"/>
  <c r="C11" i="3"/>
  <c r="B11" i="3"/>
  <c r="G10" i="3" a="1"/>
  <c r="G10" i="3" s="1"/>
  <c r="F10" i="3" a="1"/>
  <c r="F10" i="3" s="1"/>
  <c r="E10" i="3" a="1"/>
  <c r="E10" i="3" s="1"/>
  <c r="D10" i="3"/>
  <c r="C10" i="3"/>
  <c r="B10" i="3"/>
  <c r="G9" i="3" a="1"/>
  <c r="G9" i="3" s="1"/>
  <c r="F9" i="3" a="1"/>
  <c r="F9" i="3" s="1"/>
  <c r="E9" i="3" a="1"/>
  <c r="E9" i="3" s="1"/>
  <c r="D9" i="3"/>
  <c r="C9" i="3"/>
  <c r="B9" i="3"/>
  <c r="G8" i="3" a="1"/>
  <c r="G8" i="3" s="1"/>
  <c r="F8" i="3" a="1"/>
  <c r="F8" i="3" s="1"/>
  <c r="E8" i="3" a="1"/>
  <c r="E8" i="3" s="1"/>
  <c r="D8" i="3"/>
  <c r="G4" i="4" s="1"/>
  <c r="C8" i="3"/>
  <c r="B8" i="3"/>
  <c r="G7" i="3" a="1"/>
  <c r="G7" i="3" s="1"/>
  <c r="F7" i="3" a="1"/>
  <c r="F7" i="3" s="1"/>
  <c r="E7" i="3" a="1"/>
  <c r="E7" i="3" s="1"/>
  <c r="D7" i="3"/>
  <c r="C7" i="3"/>
  <c r="B7" i="3"/>
  <c r="G6" i="3" a="1"/>
  <c r="G6" i="3" s="1"/>
  <c r="F6" i="3" a="1"/>
  <c r="F6" i="3" s="1"/>
  <c r="E6" i="3" a="1"/>
  <c r="E6" i="3" s="1"/>
  <c r="D6" i="3"/>
  <c r="C6" i="3"/>
  <c r="B6" i="3"/>
  <c r="G5" i="3" a="1"/>
  <c r="G5" i="3" s="1"/>
  <c r="F5" i="3" a="1"/>
  <c r="F5" i="3" s="1"/>
  <c r="E5" i="3" a="1"/>
  <c r="E5" i="3" s="1"/>
  <c r="D5" i="3"/>
  <c r="C5" i="3"/>
  <c r="B5" i="3"/>
  <c r="G4" i="3" a="1"/>
  <c r="G4" i="3" s="1"/>
  <c r="F4" i="3" a="1"/>
  <c r="F4" i="3" s="1"/>
  <c r="E4" i="3" a="1"/>
  <c r="E4" i="3" s="1"/>
  <c r="D4" i="3"/>
  <c r="C4" i="3"/>
  <c r="B4" i="3"/>
  <c r="G3" i="3" a="1"/>
  <c r="G3" i="3" s="1"/>
  <c r="F3" i="3" a="1"/>
  <c r="F3" i="3" s="1"/>
  <c r="E3" i="3" a="1"/>
  <c r="E3" i="3" s="1"/>
  <c r="D3" i="3"/>
  <c r="G3" i="4" s="1"/>
  <c r="C3" i="3"/>
  <c r="B3" i="3"/>
  <c r="G2" i="3" a="1"/>
  <c r="G2" i="3" s="1"/>
  <c r="F2" i="3" a="1"/>
  <c r="F2" i="3" s="1"/>
  <c r="C2" i="3"/>
  <c r="B2" i="3"/>
  <c r="D3" i="1" a="1"/>
  <c r="D3" i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  <c r="D14" i="1" a="1"/>
  <c r="D14" i="1"/>
  <c r="D15" i="1" a="1"/>
  <c r="D15" i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/>
  <c r="D22" i="1" a="1"/>
  <c r="D22" i="1"/>
  <c r="D23" i="1" a="1"/>
  <c r="D23" i="1"/>
  <c r="D24" i="1" a="1"/>
  <c r="D24" i="1"/>
  <c r="D25" i="1" a="1"/>
  <c r="D25" i="1"/>
  <c r="D26" i="1" a="1"/>
  <c r="D26" i="1"/>
  <c r="D27" i="1" a="1"/>
  <c r="D27" i="1"/>
  <c r="D28" i="1" a="1"/>
  <c r="D28" i="1"/>
  <c r="D29" i="1" a="1"/>
  <c r="D29" i="1"/>
  <c r="D30" i="1" a="1"/>
  <c r="D30" i="1"/>
  <c r="D31" i="1" a="1"/>
  <c r="D31" i="1"/>
  <c r="D32" i="1" a="1"/>
  <c r="D32" i="1"/>
  <c r="D33" i="1" a="1"/>
  <c r="D33" i="1"/>
  <c r="D34" i="1" a="1"/>
  <c r="D34" i="1"/>
  <c r="D35" i="1" a="1"/>
  <c r="D35" i="1"/>
  <c r="D36" i="1" a="1"/>
  <c r="D36" i="1"/>
  <c r="D37" i="1" a="1"/>
  <c r="D37" i="1"/>
  <c r="D38" i="1" a="1"/>
  <c r="D38" i="1"/>
  <c r="D39" i="1" a="1"/>
  <c r="D39" i="1"/>
  <c r="D40" i="1" a="1"/>
  <c r="D40" i="1"/>
  <c r="D41" i="1" a="1"/>
  <c r="D41" i="1"/>
  <c r="D42" i="1" a="1"/>
  <c r="D42" i="1"/>
  <c r="D43" i="1" a="1"/>
  <c r="D43" i="1"/>
  <c r="D44" i="1" a="1"/>
  <c r="D44" i="1"/>
  <c r="D45" i="1" a="1"/>
  <c r="D45" i="1"/>
  <c r="D46" i="1" a="1"/>
  <c r="D46" i="1"/>
  <c r="D47" i="1" a="1"/>
  <c r="D47" i="1"/>
  <c r="D48" i="1" a="1"/>
  <c r="D48" i="1"/>
  <c r="D49" i="1" a="1"/>
  <c r="D49" i="1"/>
  <c r="D50" i="1" a="1"/>
  <c r="D50" i="1"/>
  <c r="D51" i="1" a="1"/>
  <c r="D51" i="1"/>
  <c r="D52" i="1" a="1"/>
  <c r="D52" i="1"/>
  <c r="D53" i="1" a="1"/>
  <c r="D53" i="1"/>
  <c r="D54" i="1" a="1"/>
  <c r="D54" i="1"/>
  <c r="D55" i="1" a="1"/>
  <c r="D55" i="1"/>
  <c r="D56" i="1" a="1"/>
  <c r="D56" i="1"/>
  <c r="D57" i="1" a="1"/>
  <c r="D57" i="1"/>
  <c r="D58" i="1" a="1"/>
  <c r="D58" i="1"/>
  <c r="D59" i="1" a="1"/>
  <c r="D59" i="1"/>
  <c r="D60" i="1" a="1"/>
  <c r="D60" i="1"/>
  <c r="D61" i="1" a="1"/>
  <c r="D61" i="1"/>
  <c r="D62" i="1" a="1"/>
  <c r="D62" i="1"/>
  <c r="D63" i="1" a="1"/>
  <c r="D63" i="1"/>
  <c r="D64" i="1" a="1"/>
  <c r="D64" i="1"/>
  <c r="D65" i="1" a="1"/>
  <c r="D65" i="1"/>
  <c r="D66" i="1" a="1"/>
  <c r="D66" i="1"/>
  <c r="D67" i="1" a="1"/>
  <c r="D67" i="1"/>
  <c r="D68" i="1" a="1"/>
  <c r="D68" i="1"/>
  <c r="D69" i="1" a="1"/>
  <c r="D69" i="1"/>
  <c r="D70" i="1" a="1"/>
  <c r="D70" i="1"/>
  <c r="D71" i="1" a="1"/>
  <c r="D71" i="1"/>
  <c r="D72" i="1" a="1"/>
  <c r="D72" i="1"/>
  <c r="D73" i="1" a="1"/>
  <c r="D73" i="1"/>
  <c r="D74" i="1" a="1"/>
  <c r="D74" i="1"/>
  <c r="D75" i="1" a="1"/>
  <c r="D75" i="1"/>
  <c r="D76" i="1" a="1"/>
  <c r="D76" i="1"/>
  <c r="D77" i="1" a="1"/>
  <c r="D77" i="1"/>
  <c r="D78" i="1" a="1"/>
  <c r="D78" i="1"/>
  <c r="D79" i="1" a="1"/>
  <c r="D79" i="1"/>
  <c r="D80" i="1" a="1"/>
  <c r="D80" i="1"/>
  <c r="D81" i="1" a="1"/>
  <c r="D81" i="1"/>
  <c r="D82" i="1" a="1"/>
  <c r="D82" i="1"/>
  <c r="D83" i="1" a="1"/>
  <c r="D83" i="1"/>
  <c r="D84" i="1" a="1"/>
  <c r="D84" i="1"/>
  <c r="D85" i="1" a="1"/>
  <c r="D85" i="1"/>
  <c r="D86" i="1" a="1"/>
  <c r="D86" i="1"/>
  <c r="D87" i="1" a="1"/>
  <c r="D87" i="1"/>
  <c r="D88" i="1" a="1"/>
  <c r="D88" i="1"/>
  <c r="D89" i="1" a="1"/>
  <c r="D89" i="1"/>
  <c r="D90" i="1" a="1"/>
  <c r="D90" i="1"/>
  <c r="D91" i="1" a="1"/>
  <c r="D91" i="1"/>
  <c r="D92" i="1" a="1"/>
  <c r="D92" i="1"/>
  <c r="D93" i="1" a="1"/>
  <c r="D93" i="1"/>
  <c r="D94" i="1" a="1"/>
  <c r="D94" i="1"/>
  <c r="D95" i="1" a="1"/>
  <c r="D95" i="1"/>
  <c r="D96" i="1" a="1"/>
  <c r="D96" i="1"/>
  <c r="D97" i="1" a="1"/>
  <c r="D97" i="1"/>
  <c r="D98" i="1" a="1"/>
  <c r="D98" i="1"/>
  <c r="D99" i="1" a="1"/>
  <c r="D99" i="1"/>
  <c r="D100" i="1" a="1"/>
  <c r="D100" i="1"/>
  <c r="D101" i="1" a="1"/>
  <c r="D101" i="1"/>
  <c r="D102" i="1" a="1"/>
  <c r="D102" i="1"/>
  <c r="D103" i="1" a="1"/>
  <c r="D103" i="1"/>
  <c r="D104" i="1" a="1"/>
  <c r="D104" i="1"/>
  <c r="D105" i="1" a="1"/>
  <c r="D105" i="1"/>
  <c r="D106" i="1" a="1"/>
  <c r="D106" i="1"/>
  <c r="D107" i="1" a="1"/>
  <c r="D107" i="1"/>
  <c r="D108" i="1" a="1"/>
  <c r="D108" i="1"/>
  <c r="D109" i="1" a="1"/>
  <c r="D109" i="1"/>
  <c r="D110" i="1" a="1"/>
  <c r="D110" i="1"/>
  <c r="D111" i="1" a="1"/>
  <c r="D111" i="1"/>
  <c r="D112" i="1" a="1"/>
  <c r="D112" i="1"/>
  <c r="D113" i="1" a="1"/>
  <c r="D113" i="1"/>
  <c r="D114" i="1" a="1"/>
  <c r="D114" i="1"/>
  <c r="D115" i="1" a="1"/>
  <c r="D115" i="1"/>
  <c r="D116" i="1" a="1"/>
  <c r="D116" i="1"/>
  <c r="D117" i="1" a="1"/>
  <c r="D117" i="1"/>
  <c r="D118" i="1" a="1"/>
  <c r="D118" i="1"/>
  <c r="D119" i="1" a="1"/>
  <c r="D119" i="1"/>
  <c r="D120" i="1" a="1"/>
  <c r="D120" i="1"/>
  <c r="D121" i="1" a="1"/>
  <c r="D121" i="1"/>
  <c r="D122" i="1" a="1"/>
  <c r="D122" i="1"/>
  <c r="D123" i="1" a="1"/>
  <c r="D123" i="1"/>
  <c r="D124" i="1" a="1"/>
  <c r="D124" i="1"/>
  <c r="D125" i="1" a="1"/>
  <c r="D125" i="1"/>
  <c r="D126" i="1" a="1"/>
  <c r="D126" i="1"/>
  <c r="D127" i="1" a="1"/>
  <c r="D127" i="1"/>
  <c r="D128" i="1" a="1"/>
  <c r="D128" i="1"/>
  <c r="D129" i="1" a="1"/>
  <c r="D129" i="1"/>
  <c r="D130" i="1" a="1"/>
  <c r="D130" i="1"/>
  <c r="D131" i="1" a="1"/>
  <c r="D131" i="1"/>
  <c r="D132" i="1" a="1"/>
  <c r="D132" i="1"/>
  <c r="D133" i="1" a="1"/>
  <c r="D133" i="1"/>
  <c r="D134" i="1" a="1"/>
  <c r="D134" i="1"/>
  <c r="D135" i="1" a="1"/>
  <c r="D135" i="1"/>
  <c r="D136" i="1" a="1"/>
  <c r="D136" i="1"/>
  <c r="D137" i="1" a="1"/>
  <c r="D137" i="1"/>
  <c r="D138" i="1" a="1"/>
  <c r="D138" i="1"/>
  <c r="D139" i="1" a="1"/>
  <c r="D139" i="1"/>
  <c r="D140" i="1" a="1"/>
  <c r="D140" i="1"/>
  <c r="D141" i="1" a="1"/>
  <c r="D141" i="1"/>
  <c r="D142" i="1" a="1"/>
  <c r="D142" i="1"/>
  <c r="D143" i="1" a="1"/>
  <c r="D143" i="1"/>
  <c r="D144" i="1" a="1"/>
  <c r="D144" i="1"/>
  <c r="D145" i="1" a="1"/>
  <c r="D145" i="1"/>
  <c r="D146" i="1" a="1"/>
  <c r="D146" i="1"/>
  <c r="D147" i="1" a="1"/>
  <c r="D147" i="1"/>
  <c r="D148" i="1" a="1"/>
  <c r="D148" i="1"/>
  <c r="D149" i="1" a="1"/>
  <c r="D149" i="1"/>
  <c r="D150" i="1" a="1"/>
  <c r="D150" i="1"/>
  <c r="D151" i="1" a="1"/>
  <c r="D151" i="1"/>
  <c r="D152" i="1" a="1"/>
  <c r="D152" i="1"/>
  <c r="D153" i="1" a="1"/>
  <c r="D153" i="1"/>
  <c r="D154" i="1" a="1"/>
  <c r="D154" i="1"/>
  <c r="D155" i="1" a="1"/>
  <c r="D155" i="1"/>
  <c r="D156" i="1" a="1"/>
  <c r="D156" i="1"/>
  <c r="D157" i="1" a="1"/>
  <c r="D157" i="1"/>
  <c r="D158" i="1" a="1"/>
  <c r="D158" i="1"/>
  <c r="D159" i="1" a="1"/>
  <c r="D159" i="1"/>
  <c r="D160" i="1" a="1"/>
  <c r="D160" i="1"/>
  <c r="D161" i="1" a="1"/>
  <c r="D161" i="1"/>
  <c r="D162" i="1" a="1"/>
  <c r="D162" i="1"/>
  <c r="D163" i="1" a="1"/>
  <c r="D163" i="1"/>
  <c r="D164" i="1" a="1"/>
  <c r="D164" i="1"/>
  <c r="D165" i="1" a="1"/>
  <c r="D165" i="1"/>
  <c r="D166" i="1" a="1"/>
  <c r="D166" i="1"/>
  <c r="D167" i="1" a="1"/>
  <c r="D167" i="1"/>
  <c r="D168" i="1" a="1"/>
  <c r="D168" i="1"/>
  <c r="D169" i="1" a="1"/>
  <c r="D169" i="1"/>
  <c r="D170" i="1" a="1"/>
  <c r="D170" i="1"/>
  <c r="D171" i="1" a="1"/>
  <c r="D171" i="1"/>
  <c r="D172" i="1" a="1"/>
  <c r="D172" i="1"/>
  <c r="D173" i="1" a="1"/>
  <c r="D173" i="1"/>
  <c r="D174" i="1" a="1"/>
  <c r="D174" i="1"/>
  <c r="D175" i="1" a="1"/>
  <c r="D175" i="1"/>
  <c r="D176" i="1" a="1"/>
  <c r="D176" i="1"/>
  <c r="D177" i="1" a="1"/>
  <c r="D177" i="1"/>
  <c r="D178" i="1" a="1"/>
  <c r="D178" i="1"/>
  <c r="D179" i="1" a="1"/>
  <c r="D179" i="1"/>
  <c r="D180" i="1" a="1"/>
  <c r="D180" i="1"/>
  <c r="D181" i="1" a="1"/>
  <c r="D181" i="1"/>
  <c r="D182" i="1" a="1"/>
  <c r="D182" i="1"/>
  <c r="D183" i="1" a="1"/>
  <c r="D183" i="1"/>
  <c r="D184" i="1" a="1"/>
  <c r="D184" i="1"/>
  <c r="D185" i="1" a="1"/>
  <c r="D185" i="1"/>
  <c r="D186" i="1" a="1"/>
  <c r="D186" i="1"/>
  <c r="D187" i="1" a="1"/>
  <c r="D187" i="1"/>
  <c r="D188" i="1" a="1"/>
  <c r="D188" i="1"/>
  <c r="D189" i="1" a="1"/>
  <c r="D189" i="1"/>
  <c r="D190" i="1" a="1"/>
  <c r="D190" i="1"/>
  <c r="D191" i="1" a="1"/>
  <c r="D191" i="1"/>
  <c r="D192" i="1" a="1"/>
  <c r="D192" i="1"/>
  <c r="D193" i="1" a="1"/>
  <c r="D193" i="1"/>
  <c r="D194" i="1" a="1"/>
  <c r="D194" i="1"/>
  <c r="D195" i="1" a="1"/>
  <c r="D195" i="1"/>
  <c r="D196" i="1" a="1"/>
  <c r="D196" i="1"/>
  <c r="D197" i="1" a="1"/>
  <c r="D197" i="1"/>
  <c r="D198" i="1" a="1"/>
  <c r="D198" i="1"/>
  <c r="D199" i="1" a="1"/>
  <c r="D199" i="1"/>
  <c r="D200" i="1" a="1"/>
  <c r="D200" i="1"/>
  <c r="D201" i="1" a="1"/>
  <c r="D201" i="1"/>
  <c r="D202" i="1" a="1"/>
  <c r="D202" i="1"/>
  <c r="D203" i="1" a="1"/>
  <c r="D203" i="1"/>
  <c r="D204" i="1" a="1"/>
  <c r="D204" i="1"/>
  <c r="D205" i="1" a="1"/>
  <c r="D205" i="1"/>
  <c r="D206" i="1" a="1"/>
  <c r="D206" i="1"/>
  <c r="D207" i="1" a="1"/>
  <c r="D207" i="1"/>
  <c r="D208" i="1" a="1"/>
  <c r="D208" i="1"/>
  <c r="D209" i="1" a="1"/>
  <c r="D209" i="1"/>
  <c r="D210" i="1" a="1"/>
  <c r="D210" i="1"/>
  <c r="D211" i="1" a="1"/>
  <c r="D211" i="1"/>
  <c r="D212" i="1" a="1"/>
  <c r="D212" i="1"/>
  <c r="D213" i="1" a="1"/>
  <c r="D213" i="1"/>
  <c r="D214" i="1" a="1"/>
  <c r="D214" i="1"/>
  <c r="D215" i="1" a="1"/>
  <c r="D215" i="1"/>
  <c r="D216" i="1" a="1"/>
  <c r="D216" i="1"/>
  <c r="D217" i="1" a="1"/>
  <c r="D217" i="1"/>
  <c r="D218" i="1" a="1"/>
  <c r="D218" i="1"/>
  <c r="D219" i="1" a="1"/>
  <c r="D219" i="1"/>
  <c r="D220" i="1" a="1"/>
  <c r="D220" i="1"/>
  <c r="D221" i="1" a="1"/>
  <c r="D221" i="1"/>
  <c r="D222" i="1" a="1"/>
  <c r="D222" i="1"/>
  <c r="D223" i="1" a="1"/>
  <c r="D223" i="1"/>
  <c r="D224" i="1" a="1"/>
  <c r="D224" i="1"/>
  <c r="D225" i="1" a="1"/>
  <c r="D225" i="1"/>
  <c r="D226" i="1" a="1"/>
  <c r="D226" i="1"/>
  <c r="D227" i="1" a="1"/>
  <c r="D227" i="1"/>
  <c r="D228" i="1" a="1"/>
  <c r="D228" i="1"/>
  <c r="D229" i="1" a="1"/>
  <c r="D229" i="1"/>
  <c r="D230" i="1" a="1"/>
  <c r="D230" i="1"/>
  <c r="D231" i="1" a="1"/>
  <c r="D231" i="1"/>
  <c r="D232" i="1" a="1"/>
  <c r="D232" i="1"/>
  <c r="D233" i="1" a="1"/>
  <c r="D233" i="1"/>
  <c r="D234" i="1" a="1"/>
  <c r="D234" i="1"/>
  <c r="D235" i="1" a="1"/>
  <c r="D235" i="1"/>
  <c r="D236" i="1" a="1"/>
  <c r="D236" i="1"/>
  <c r="D237" i="1" a="1"/>
  <c r="D237" i="1"/>
  <c r="D238" i="1" a="1"/>
  <c r="D238" i="1"/>
  <c r="D239" i="1" a="1"/>
  <c r="D239" i="1"/>
  <c r="D240" i="1" a="1"/>
  <c r="D240" i="1"/>
  <c r="D241" i="1" a="1"/>
  <c r="D241" i="1"/>
  <c r="D242" i="1" a="1"/>
  <c r="D242" i="1"/>
  <c r="D243" i="1" a="1"/>
  <c r="D243" i="1"/>
  <c r="D244" i="1" a="1"/>
  <c r="D244" i="1"/>
  <c r="D245" i="1" a="1"/>
  <c r="D245" i="1"/>
  <c r="D246" i="1" a="1"/>
  <c r="D246" i="1"/>
  <c r="D247" i="1" a="1"/>
  <c r="D247" i="1"/>
  <c r="D248" i="1" a="1"/>
  <c r="D248" i="1"/>
  <c r="D249" i="1" a="1"/>
  <c r="D249" i="1"/>
  <c r="D250" i="1" a="1"/>
  <c r="D250" i="1"/>
  <c r="D251" i="1" a="1"/>
  <c r="D251" i="1"/>
  <c r="D252" i="1" a="1"/>
  <c r="D252" i="1"/>
  <c r="D253" i="1" a="1"/>
  <c r="D253" i="1"/>
  <c r="D254" i="1" a="1"/>
  <c r="D254" i="1"/>
  <c r="D255" i="1" a="1"/>
  <c r="D255" i="1"/>
  <c r="D256" i="1" a="1"/>
  <c r="D256" i="1"/>
  <c r="D257" i="1" a="1"/>
  <c r="D257" i="1"/>
  <c r="D258" i="1" a="1"/>
  <c r="D258" i="1"/>
  <c r="D259" i="1" a="1"/>
  <c r="D259" i="1"/>
  <c r="D260" i="1" a="1"/>
  <c r="D260" i="1"/>
  <c r="D261" i="1" a="1"/>
  <c r="D261" i="1"/>
  <c r="D262" i="1" a="1"/>
  <c r="D262" i="1"/>
  <c r="D263" i="1" a="1"/>
  <c r="D263" i="1"/>
  <c r="D264" i="1" a="1"/>
  <c r="D264" i="1"/>
  <c r="D265" i="1" a="1"/>
  <c r="D265" i="1"/>
  <c r="D266" i="1" a="1"/>
  <c r="D266" i="1"/>
  <c r="D267" i="1" a="1"/>
  <c r="D267" i="1"/>
  <c r="D268" i="1" a="1"/>
  <c r="D268" i="1"/>
  <c r="D269" i="1" a="1"/>
  <c r="D269" i="1"/>
  <c r="D270" i="1" a="1"/>
  <c r="D270" i="1"/>
  <c r="D271" i="1" a="1"/>
  <c r="D271" i="1"/>
  <c r="D272" i="1" a="1"/>
  <c r="D272" i="1"/>
  <c r="D273" i="1" a="1"/>
  <c r="D273" i="1"/>
  <c r="D274" i="1" a="1"/>
  <c r="D274" i="1"/>
  <c r="D275" i="1" a="1"/>
  <c r="D275" i="1"/>
  <c r="D276" i="1" a="1"/>
  <c r="D276" i="1"/>
  <c r="D277" i="1" a="1"/>
  <c r="D277" i="1"/>
  <c r="D278" i="1" a="1"/>
  <c r="D278" i="1"/>
  <c r="D279" i="1" a="1"/>
  <c r="D279" i="1"/>
  <c r="D280" i="1" a="1"/>
  <c r="D280" i="1"/>
  <c r="D281" i="1" a="1"/>
  <c r="D281" i="1"/>
  <c r="D282" i="1" a="1"/>
  <c r="D282" i="1"/>
  <c r="D283" i="1" a="1"/>
  <c r="D283" i="1"/>
  <c r="D284" i="1" a="1"/>
  <c r="D284" i="1"/>
  <c r="D285" i="1" a="1"/>
  <c r="D285" i="1"/>
  <c r="D286" i="1" a="1"/>
  <c r="D286" i="1"/>
  <c r="D287" i="1" a="1"/>
  <c r="D287" i="1"/>
  <c r="D288" i="1" a="1"/>
  <c r="D288" i="1"/>
  <c r="D289" i="1" a="1"/>
  <c r="D289" i="1"/>
  <c r="D290" i="1" a="1"/>
  <c r="D290" i="1"/>
  <c r="D291" i="1" a="1"/>
  <c r="D291" i="1"/>
  <c r="D292" i="1" a="1"/>
  <c r="D292" i="1"/>
  <c r="D293" i="1" a="1"/>
  <c r="D293" i="1"/>
  <c r="D294" i="1" a="1"/>
  <c r="D294" i="1"/>
  <c r="D295" i="1" a="1"/>
  <c r="D295" i="1"/>
  <c r="D296" i="1" a="1"/>
  <c r="D296" i="1"/>
  <c r="D297" i="1" a="1"/>
  <c r="D297" i="1"/>
  <c r="D298" i="1" a="1"/>
  <c r="D298" i="1"/>
  <c r="D299" i="1" a="1"/>
  <c r="D299" i="1"/>
  <c r="D300" i="1" a="1"/>
  <c r="D300" i="1"/>
  <c r="D301" i="1" a="1"/>
  <c r="D301" i="1"/>
  <c r="D302" i="1" a="1"/>
  <c r="D302" i="1"/>
  <c r="D303" i="1" a="1"/>
  <c r="D303" i="1"/>
  <c r="D304" i="1" a="1"/>
  <c r="D304" i="1"/>
  <c r="D305" i="1" a="1"/>
  <c r="D305" i="1"/>
  <c r="D306" i="1" a="1"/>
  <c r="D306" i="1"/>
  <c r="D307" i="1" a="1"/>
  <c r="D307" i="1"/>
  <c r="D308" i="1" a="1"/>
  <c r="D308" i="1"/>
  <c r="D309" i="1" a="1"/>
  <c r="D309" i="1"/>
  <c r="D310" i="1" a="1"/>
  <c r="D310" i="1"/>
  <c r="D311" i="1" a="1"/>
  <c r="D311" i="1"/>
  <c r="D312" i="1" a="1"/>
  <c r="D312" i="1"/>
  <c r="D2" i="1" a="1"/>
  <c r="D2" i="1"/>
  <c r="C3" i="1" a="1"/>
  <c r="C3" i="1"/>
  <c r="C4" i="1" a="1"/>
  <c r="C4" i="1"/>
  <c r="C5" i="1" a="1"/>
  <c r="C5" i="1"/>
  <c r="C6" i="1" a="1"/>
  <c r="C6" i="1"/>
  <c r="C7" i="1" a="1"/>
  <c r="C7" i="1"/>
  <c r="C8" i="1" a="1"/>
  <c r="C8" i="1"/>
  <c r="C9" i="1" a="1"/>
  <c r="C9" i="1"/>
  <c r="C10" i="1" a="1"/>
  <c r="C10" i="1"/>
  <c r="C11" i="1" a="1"/>
  <c r="C11" i="1"/>
  <c r="C12" i="1" a="1"/>
  <c r="C12" i="1"/>
  <c r="C13" i="1" a="1"/>
  <c r="C13" i="1"/>
  <c r="C14" i="1" a="1"/>
  <c r="C14" i="1"/>
  <c r="C15" i="1" a="1"/>
  <c r="C15" i="1"/>
  <c r="C16" i="1" a="1"/>
  <c r="C16" i="1"/>
  <c r="C17" i="1" a="1"/>
  <c r="C17" i="1"/>
  <c r="C18" i="1" a="1"/>
  <c r="C18" i="1"/>
  <c r="C19" i="1" a="1"/>
  <c r="C19" i="1"/>
  <c r="C20" i="1" a="1"/>
  <c r="C20" i="1"/>
  <c r="C21" i="1" a="1"/>
  <c r="C21" i="1"/>
  <c r="C22" i="1" a="1"/>
  <c r="C22" i="1"/>
  <c r="C23" i="1" a="1"/>
  <c r="C23" i="1"/>
  <c r="C24" i="1" a="1"/>
  <c r="C24" i="1"/>
  <c r="C25" i="1" a="1"/>
  <c r="C25" i="1"/>
  <c r="C26" i="1" a="1"/>
  <c r="C26" i="1"/>
  <c r="C27" i="1" a="1"/>
  <c r="C27" i="1"/>
  <c r="C28" i="1" a="1"/>
  <c r="C28" i="1"/>
  <c r="C29" i="1" a="1"/>
  <c r="C29" i="1"/>
  <c r="C30" i="1" a="1"/>
  <c r="C30" i="1"/>
  <c r="C31" i="1" a="1"/>
  <c r="C31" i="1"/>
  <c r="C32" i="1" a="1"/>
  <c r="C32" i="1"/>
  <c r="C33" i="1" a="1"/>
  <c r="C33" i="1"/>
  <c r="C34" i="1" a="1"/>
  <c r="C34" i="1"/>
  <c r="C35" i="1" a="1"/>
  <c r="C35" i="1"/>
  <c r="C36" i="1" a="1"/>
  <c r="C36" i="1"/>
  <c r="C37" i="1" a="1"/>
  <c r="C37" i="1"/>
  <c r="C38" i="1" a="1"/>
  <c r="C38" i="1"/>
  <c r="C39" i="1" a="1"/>
  <c r="C39" i="1"/>
  <c r="C40" i="1" a="1"/>
  <c r="C40" i="1"/>
  <c r="C41" i="1" a="1"/>
  <c r="C41" i="1"/>
  <c r="C42" i="1" a="1"/>
  <c r="C42" i="1"/>
  <c r="C43" i="1" a="1"/>
  <c r="C43" i="1"/>
  <c r="C44" i="1" a="1"/>
  <c r="C44" i="1"/>
  <c r="C45" i="1" a="1"/>
  <c r="C45" i="1"/>
  <c r="C46" i="1" a="1"/>
  <c r="C46" i="1"/>
  <c r="C47" i="1" a="1"/>
  <c r="C47" i="1"/>
  <c r="C48" i="1" a="1"/>
  <c r="C48" i="1"/>
  <c r="C49" i="1" a="1"/>
  <c r="C49" i="1"/>
  <c r="C50" i="1" a="1"/>
  <c r="C50" i="1"/>
  <c r="C51" i="1" a="1"/>
  <c r="C51" i="1"/>
  <c r="C52" i="1" a="1"/>
  <c r="C52" i="1"/>
  <c r="C53" i="1" a="1"/>
  <c r="C53" i="1"/>
  <c r="C54" i="1" a="1"/>
  <c r="C54" i="1"/>
  <c r="C55" i="1" a="1"/>
  <c r="C55" i="1"/>
  <c r="C56" i="1" a="1"/>
  <c r="C56" i="1"/>
  <c r="C57" i="1" a="1"/>
  <c r="C57" i="1"/>
  <c r="C58" i="1" a="1"/>
  <c r="C58" i="1"/>
  <c r="C59" i="1" a="1"/>
  <c r="C59" i="1"/>
  <c r="C60" i="1" a="1"/>
  <c r="C60" i="1"/>
  <c r="C61" i="1" a="1"/>
  <c r="C61" i="1"/>
  <c r="C62" i="1" a="1"/>
  <c r="C62" i="1"/>
  <c r="C63" i="1" a="1"/>
  <c r="C63" i="1"/>
  <c r="C64" i="1" a="1"/>
  <c r="C64" i="1"/>
  <c r="C65" i="1" a="1"/>
  <c r="C65" i="1"/>
  <c r="C66" i="1" a="1"/>
  <c r="C66" i="1"/>
  <c r="C67" i="1" a="1"/>
  <c r="C67" i="1"/>
  <c r="C68" i="1" a="1"/>
  <c r="C68" i="1"/>
  <c r="C69" i="1" a="1"/>
  <c r="C69" i="1"/>
  <c r="C70" i="1" a="1"/>
  <c r="C70" i="1"/>
  <c r="C71" i="1" a="1"/>
  <c r="C71" i="1"/>
  <c r="C72" i="1" a="1"/>
  <c r="C72" i="1"/>
  <c r="C73" i="1" a="1"/>
  <c r="C73" i="1"/>
  <c r="C74" i="1" a="1"/>
  <c r="C74" i="1"/>
  <c r="C75" i="1" a="1"/>
  <c r="C75" i="1"/>
  <c r="C76" i="1" a="1"/>
  <c r="C76" i="1"/>
  <c r="C77" i="1" a="1"/>
  <c r="C77" i="1"/>
  <c r="C78" i="1" a="1"/>
  <c r="C78" i="1"/>
  <c r="C79" i="1" a="1"/>
  <c r="C79" i="1"/>
  <c r="C80" i="1" a="1"/>
  <c r="C80" i="1"/>
  <c r="C81" i="1" a="1"/>
  <c r="C81" i="1"/>
  <c r="C82" i="1" a="1"/>
  <c r="C82" i="1"/>
  <c r="C83" i="1" a="1"/>
  <c r="C83" i="1"/>
  <c r="C84" i="1" a="1"/>
  <c r="C84" i="1"/>
  <c r="C85" i="1" a="1"/>
  <c r="C85" i="1"/>
  <c r="C86" i="1" a="1"/>
  <c r="C86" i="1"/>
  <c r="C87" i="1" a="1"/>
  <c r="C87" i="1"/>
  <c r="C88" i="1" a="1"/>
  <c r="C88" i="1"/>
  <c r="C89" i="1" a="1"/>
  <c r="C89" i="1"/>
  <c r="C90" i="1" a="1"/>
  <c r="C90" i="1"/>
  <c r="C91" i="1" a="1"/>
  <c r="C91" i="1"/>
  <c r="C92" i="1" a="1"/>
  <c r="C92" i="1"/>
  <c r="C93" i="1" a="1"/>
  <c r="C93" i="1"/>
  <c r="C94" i="1" a="1"/>
  <c r="C94" i="1"/>
  <c r="C95" i="1" a="1"/>
  <c r="C95" i="1"/>
  <c r="C96" i="1" a="1"/>
  <c r="C96" i="1"/>
  <c r="C97" i="1" a="1"/>
  <c r="C97" i="1"/>
  <c r="C98" i="1" a="1"/>
  <c r="C98" i="1"/>
  <c r="C99" i="1" a="1"/>
  <c r="C99" i="1"/>
  <c r="C100" i="1" a="1"/>
  <c r="C100" i="1"/>
  <c r="C101" i="1" a="1"/>
  <c r="C101" i="1"/>
  <c r="C102" i="1" a="1"/>
  <c r="C102" i="1"/>
  <c r="C103" i="1" a="1"/>
  <c r="C103" i="1"/>
  <c r="C104" i="1" a="1"/>
  <c r="C104" i="1"/>
  <c r="C105" i="1" a="1"/>
  <c r="C105" i="1"/>
  <c r="C106" i="1" a="1"/>
  <c r="C106" i="1"/>
  <c r="C107" i="1" a="1"/>
  <c r="C107" i="1"/>
  <c r="C108" i="1" a="1"/>
  <c r="C108" i="1"/>
  <c r="C109" i="1" a="1"/>
  <c r="C109" i="1"/>
  <c r="C110" i="1" a="1"/>
  <c r="C110" i="1"/>
  <c r="C111" i="1" a="1"/>
  <c r="C111" i="1"/>
  <c r="C112" i="1" a="1"/>
  <c r="C112" i="1"/>
  <c r="C113" i="1" a="1"/>
  <c r="C113" i="1"/>
  <c r="C114" i="1" a="1"/>
  <c r="C114" i="1"/>
  <c r="C115" i="1" a="1"/>
  <c r="C115" i="1"/>
  <c r="C116" i="1" a="1"/>
  <c r="C116" i="1"/>
  <c r="C117" i="1" a="1"/>
  <c r="C117" i="1"/>
  <c r="C118" i="1" a="1"/>
  <c r="C118" i="1"/>
  <c r="C119" i="1" a="1"/>
  <c r="C119" i="1"/>
  <c r="C120" i="1" a="1"/>
  <c r="C120" i="1"/>
  <c r="C121" i="1" a="1"/>
  <c r="C121" i="1"/>
  <c r="C122" i="1" a="1"/>
  <c r="C122" i="1"/>
  <c r="C123" i="1" a="1"/>
  <c r="C123" i="1"/>
  <c r="C124" i="1" a="1"/>
  <c r="C124" i="1"/>
  <c r="C125" i="1" a="1"/>
  <c r="C125" i="1"/>
  <c r="C126" i="1" a="1"/>
  <c r="C126" i="1"/>
  <c r="C127" i="1" a="1"/>
  <c r="C127" i="1"/>
  <c r="C128" i="1" a="1"/>
  <c r="C128" i="1"/>
  <c r="C129" i="1" a="1"/>
  <c r="C129" i="1"/>
  <c r="C130" i="1" a="1"/>
  <c r="C130" i="1"/>
  <c r="C131" i="1" a="1"/>
  <c r="C131" i="1"/>
  <c r="C132" i="1" a="1"/>
  <c r="C132" i="1"/>
  <c r="C133" i="1" a="1"/>
  <c r="C133" i="1"/>
  <c r="C134" i="1" a="1"/>
  <c r="C134" i="1"/>
  <c r="C135" i="1" a="1"/>
  <c r="C135" i="1"/>
  <c r="C136" i="1" a="1"/>
  <c r="C136" i="1"/>
  <c r="C137" i="1" a="1"/>
  <c r="C137" i="1"/>
  <c r="C138" i="1" a="1"/>
  <c r="C138" i="1"/>
  <c r="C139" i="1" a="1"/>
  <c r="C139" i="1"/>
  <c r="C140" i="1" a="1"/>
  <c r="C140" i="1"/>
  <c r="C141" i="1" a="1"/>
  <c r="C141" i="1"/>
  <c r="C142" i="1" a="1"/>
  <c r="C142" i="1"/>
  <c r="C143" i="1" a="1"/>
  <c r="C143" i="1"/>
  <c r="C144" i="1" a="1"/>
  <c r="C144" i="1"/>
  <c r="C145" i="1" a="1"/>
  <c r="C145" i="1"/>
  <c r="C146" i="1" a="1"/>
  <c r="C146" i="1"/>
  <c r="C147" i="1" a="1"/>
  <c r="C147" i="1"/>
  <c r="C148" i="1" a="1"/>
  <c r="C148" i="1"/>
  <c r="C149" i="1" a="1"/>
  <c r="C149" i="1"/>
  <c r="C150" i="1" a="1"/>
  <c r="C150" i="1"/>
  <c r="C151" i="1" a="1"/>
  <c r="C151" i="1"/>
  <c r="C152" i="1" a="1"/>
  <c r="C152" i="1"/>
  <c r="C153" i="1" a="1"/>
  <c r="C153" i="1"/>
  <c r="C154" i="1" a="1"/>
  <c r="C154" i="1"/>
  <c r="C155" i="1" a="1"/>
  <c r="C155" i="1"/>
  <c r="C156" i="1" a="1"/>
  <c r="C156" i="1"/>
  <c r="C157" i="1" a="1"/>
  <c r="C157" i="1"/>
  <c r="C158" i="1" a="1"/>
  <c r="C158" i="1"/>
  <c r="C159" i="1" a="1"/>
  <c r="C159" i="1"/>
  <c r="C160" i="1" a="1"/>
  <c r="C160" i="1"/>
  <c r="C161" i="1" a="1"/>
  <c r="C161" i="1"/>
  <c r="C162" i="1" a="1"/>
  <c r="C162" i="1"/>
  <c r="C163" i="1" a="1"/>
  <c r="C163" i="1"/>
  <c r="C164" i="1" a="1"/>
  <c r="C164" i="1"/>
  <c r="C165" i="1" a="1"/>
  <c r="C165" i="1"/>
  <c r="C166" i="1" a="1"/>
  <c r="C166" i="1"/>
  <c r="C167" i="1" a="1"/>
  <c r="C167" i="1"/>
  <c r="C168" i="1" a="1"/>
  <c r="C168" i="1"/>
  <c r="C169" i="1" a="1"/>
  <c r="C169" i="1"/>
  <c r="C170" i="1" a="1"/>
  <c r="C170" i="1"/>
  <c r="C171" i="1" a="1"/>
  <c r="C171" i="1"/>
  <c r="C172" i="1" a="1"/>
  <c r="C172" i="1"/>
  <c r="C173" i="1" a="1"/>
  <c r="C173" i="1"/>
  <c r="C174" i="1" a="1"/>
  <c r="C174" i="1"/>
  <c r="C175" i="1" a="1"/>
  <c r="C175" i="1"/>
  <c r="C176" i="1" a="1"/>
  <c r="C176" i="1"/>
  <c r="C177" i="1" a="1"/>
  <c r="C177" i="1"/>
  <c r="C178" i="1" a="1"/>
  <c r="C178" i="1"/>
  <c r="C179" i="1" a="1"/>
  <c r="C179" i="1"/>
  <c r="C180" i="1" a="1"/>
  <c r="C180" i="1"/>
  <c r="C181" i="1" a="1"/>
  <c r="C181" i="1"/>
  <c r="C182" i="1" a="1"/>
  <c r="C182" i="1"/>
  <c r="C183" i="1" a="1"/>
  <c r="C183" i="1"/>
  <c r="C184" i="1" a="1"/>
  <c r="C184" i="1"/>
  <c r="C185" i="1" a="1"/>
  <c r="C185" i="1"/>
  <c r="C186" i="1" a="1"/>
  <c r="C186" i="1"/>
  <c r="C187" i="1" a="1"/>
  <c r="C187" i="1"/>
  <c r="C188" i="1" a="1"/>
  <c r="C188" i="1"/>
  <c r="C189" i="1" a="1"/>
  <c r="C189" i="1"/>
  <c r="C190" i="1" a="1"/>
  <c r="C190" i="1"/>
  <c r="C191" i="1" a="1"/>
  <c r="C191" i="1"/>
  <c r="C192" i="1" a="1"/>
  <c r="C192" i="1"/>
  <c r="C193" i="1" a="1"/>
  <c r="C193" i="1"/>
  <c r="C194" i="1" a="1"/>
  <c r="C194" i="1"/>
  <c r="C195" i="1" a="1"/>
  <c r="C195" i="1"/>
  <c r="C196" i="1" a="1"/>
  <c r="C196" i="1"/>
  <c r="C197" i="1" a="1"/>
  <c r="C197" i="1"/>
  <c r="C198" i="1" a="1"/>
  <c r="C198" i="1"/>
  <c r="C199" i="1" a="1"/>
  <c r="C199" i="1"/>
  <c r="C200" i="1" a="1"/>
  <c r="C200" i="1"/>
  <c r="C201" i="1" a="1"/>
  <c r="C201" i="1"/>
  <c r="C202" i="1" a="1"/>
  <c r="C202" i="1"/>
  <c r="C203" i="1" a="1"/>
  <c r="C203" i="1"/>
  <c r="C204" i="1" a="1"/>
  <c r="C204" i="1"/>
  <c r="C205" i="1" a="1"/>
  <c r="C205" i="1"/>
  <c r="C206" i="1" a="1"/>
  <c r="C206" i="1"/>
  <c r="C207" i="1" a="1"/>
  <c r="C207" i="1"/>
  <c r="C208" i="1" a="1"/>
  <c r="C208" i="1"/>
  <c r="C209" i="1" a="1"/>
  <c r="C209" i="1"/>
  <c r="C210" i="1" a="1"/>
  <c r="C210" i="1"/>
  <c r="C211" i="1" a="1"/>
  <c r="C211" i="1"/>
  <c r="C212" i="1" a="1"/>
  <c r="C212" i="1"/>
  <c r="C213" i="1" a="1"/>
  <c r="C213" i="1"/>
  <c r="C214" i="1" a="1"/>
  <c r="C214" i="1"/>
  <c r="C215" i="1" a="1"/>
  <c r="C215" i="1"/>
  <c r="C216" i="1" a="1"/>
  <c r="C216" i="1"/>
  <c r="C217" i="1" a="1"/>
  <c r="C217" i="1"/>
  <c r="C218" i="1" a="1"/>
  <c r="C218" i="1"/>
  <c r="C219" i="1" a="1"/>
  <c r="C219" i="1"/>
  <c r="C220" i="1" a="1"/>
  <c r="C220" i="1"/>
  <c r="C221" i="1" a="1"/>
  <c r="C221" i="1"/>
  <c r="C222" i="1" a="1"/>
  <c r="C222" i="1"/>
  <c r="C223" i="1" a="1"/>
  <c r="C223" i="1"/>
  <c r="C224" i="1" a="1"/>
  <c r="C224" i="1"/>
  <c r="C225" i="1" a="1"/>
  <c r="C225" i="1"/>
  <c r="C226" i="1" a="1"/>
  <c r="C226" i="1"/>
  <c r="C227" i="1" a="1"/>
  <c r="C227" i="1"/>
  <c r="C228" i="1" a="1"/>
  <c r="C228" i="1"/>
  <c r="C229" i="1" a="1"/>
  <c r="C229" i="1"/>
  <c r="C230" i="1" a="1"/>
  <c r="C230" i="1"/>
  <c r="C231" i="1" a="1"/>
  <c r="C231" i="1"/>
  <c r="C232" i="1" a="1"/>
  <c r="C232" i="1"/>
  <c r="C233" i="1" a="1"/>
  <c r="C233" i="1"/>
  <c r="C234" i="1" a="1"/>
  <c r="C234" i="1"/>
  <c r="C235" i="1" a="1"/>
  <c r="C235" i="1"/>
  <c r="C236" i="1" a="1"/>
  <c r="C236" i="1"/>
  <c r="C237" i="1" a="1"/>
  <c r="C237" i="1"/>
  <c r="C238" i="1" a="1"/>
  <c r="C238" i="1"/>
  <c r="C239" i="1" a="1"/>
  <c r="C239" i="1"/>
  <c r="C240" i="1" a="1"/>
  <c r="C240" i="1"/>
  <c r="C241" i="1" a="1"/>
  <c r="C241" i="1"/>
  <c r="C242" i="1" a="1"/>
  <c r="C242" i="1"/>
  <c r="C243" i="1" a="1"/>
  <c r="C243" i="1"/>
  <c r="C244" i="1" a="1"/>
  <c r="C244" i="1"/>
  <c r="C245" i="1" a="1"/>
  <c r="C245" i="1"/>
  <c r="C246" i="1" a="1"/>
  <c r="C246" i="1"/>
  <c r="C247" i="1" a="1"/>
  <c r="C247" i="1"/>
  <c r="C248" i="1" a="1"/>
  <c r="C248" i="1"/>
  <c r="C249" i="1" a="1"/>
  <c r="C249" i="1"/>
  <c r="C250" i="1" a="1"/>
  <c r="C250" i="1"/>
  <c r="C251" i="1" a="1"/>
  <c r="C251" i="1"/>
  <c r="C252" i="1" a="1"/>
  <c r="C252" i="1"/>
  <c r="C253" i="1" a="1"/>
  <c r="C253" i="1"/>
  <c r="C254" i="1" a="1"/>
  <c r="C254" i="1"/>
  <c r="C255" i="1" a="1"/>
  <c r="C255" i="1"/>
  <c r="C256" i="1" a="1"/>
  <c r="C256" i="1"/>
  <c r="C257" i="1" a="1"/>
  <c r="C257" i="1"/>
  <c r="C258" i="1" a="1"/>
  <c r="C258" i="1"/>
  <c r="C259" i="1" a="1"/>
  <c r="C259" i="1"/>
  <c r="C260" i="1" a="1"/>
  <c r="C260" i="1"/>
  <c r="C261" i="1" a="1"/>
  <c r="C261" i="1"/>
  <c r="C262" i="1" a="1"/>
  <c r="C262" i="1"/>
  <c r="C263" i="1" a="1"/>
  <c r="C263" i="1"/>
  <c r="C264" i="1" a="1"/>
  <c r="C264" i="1"/>
  <c r="C265" i="1" a="1"/>
  <c r="C265" i="1"/>
  <c r="C266" i="1" a="1"/>
  <c r="C266" i="1"/>
  <c r="C267" i="1" a="1"/>
  <c r="C267" i="1"/>
  <c r="C268" i="1" a="1"/>
  <c r="C268" i="1"/>
  <c r="C269" i="1" a="1"/>
  <c r="C269" i="1"/>
  <c r="C270" i="1" a="1"/>
  <c r="C270" i="1"/>
  <c r="C271" i="1" a="1"/>
  <c r="C271" i="1"/>
  <c r="C272" i="1" a="1"/>
  <c r="C272" i="1"/>
  <c r="C273" i="1" a="1"/>
  <c r="C273" i="1"/>
  <c r="C274" i="1" a="1"/>
  <c r="C274" i="1"/>
  <c r="C275" i="1" a="1"/>
  <c r="C275" i="1"/>
  <c r="C276" i="1" a="1"/>
  <c r="C276" i="1"/>
  <c r="C277" i="1" a="1"/>
  <c r="C277" i="1"/>
  <c r="C278" i="1" a="1"/>
  <c r="C278" i="1"/>
  <c r="C279" i="1" a="1"/>
  <c r="C279" i="1"/>
  <c r="C280" i="1" a="1"/>
  <c r="C280" i="1"/>
  <c r="C281" i="1" a="1"/>
  <c r="C281" i="1"/>
  <c r="C282" i="1" a="1"/>
  <c r="C282" i="1"/>
  <c r="C283" i="1" a="1"/>
  <c r="C283" i="1"/>
  <c r="C284" i="1" a="1"/>
  <c r="C284" i="1"/>
  <c r="C285" i="1" a="1"/>
  <c r="C285" i="1"/>
  <c r="C286" i="1" a="1"/>
  <c r="C286" i="1"/>
  <c r="C287" i="1" a="1"/>
  <c r="C287" i="1"/>
  <c r="C288" i="1" a="1"/>
  <c r="C288" i="1"/>
  <c r="C289" i="1" a="1"/>
  <c r="C289" i="1"/>
  <c r="C290" i="1" a="1"/>
  <c r="C290" i="1"/>
  <c r="C291" i="1" a="1"/>
  <c r="C291" i="1"/>
  <c r="C292" i="1" a="1"/>
  <c r="C292" i="1"/>
  <c r="C293" i="1" a="1"/>
  <c r="C293" i="1"/>
  <c r="C294" i="1" a="1"/>
  <c r="C294" i="1"/>
  <c r="C295" i="1" a="1"/>
  <c r="C295" i="1"/>
  <c r="C296" i="1" a="1"/>
  <c r="C296" i="1"/>
  <c r="C297" i="1" a="1"/>
  <c r="C297" i="1"/>
  <c r="C298" i="1" a="1"/>
  <c r="C298" i="1"/>
  <c r="C299" i="1" a="1"/>
  <c r="C299" i="1"/>
  <c r="C300" i="1" a="1"/>
  <c r="C300" i="1"/>
  <c r="C301" i="1" a="1"/>
  <c r="C301" i="1"/>
  <c r="C302" i="1" a="1"/>
  <c r="C302" i="1"/>
  <c r="C303" i="1" a="1"/>
  <c r="C303" i="1"/>
  <c r="C304" i="1" a="1"/>
  <c r="C304" i="1"/>
  <c r="C305" i="1" a="1"/>
  <c r="C305" i="1"/>
  <c r="C306" i="1" a="1"/>
  <c r="C306" i="1"/>
  <c r="C307" i="1" a="1"/>
  <c r="C307" i="1"/>
  <c r="C308" i="1" a="1"/>
  <c r="C308" i="1"/>
  <c r="C309" i="1" a="1"/>
  <c r="C309" i="1"/>
  <c r="C310" i="1" a="1"/>
  <c r="C310" i="1"/>
  <c r="C311" i="1" a="1"/>
  <c r="C311" i="1"/>
  <c r="C312" i="1" a="1"/>
  <c r="C312" i="1"/>
  <c r="C2" i="1" a="1"/>
  <c r="C2" i="1"/>
  <c r="E3" i="4" l="1"/>
  <c r="E4" i="4"/>
  <c r="E5" i="4"/>
  <c r="E6" i="4"/>
  <c r="E7" i="4"/>
  <c r="E2" i="4"/>
  <c r="H3" i="4"/>
  <c r="H4" i="4"/>
  <c r="H5" i="4"/>
  <c r="H6" i="4"/>
  <c r="H7" i="4"/>
  <c r="H2" i="4"/>
  <c r="G2" i="4"/>
  <c r="D3" i="4"/>
  <c r="D4" i="4"/>
  <c r="D5" i="4"/>
  <c r="D6" i="4"/>
  <c r="D7" i="4"/>
  <c r="D2" i="4"/>
  <c r="H5" i="6" s="1"/>
  <c r="C3" i="4"/>
  <c r="C4" i="4"/>
  <c r="C5" i="4"/>
  <c r="C6" i="4"/>
  <c r="C7" i="4"/>
  <c r="C2" i="4"/>
  <c r="B3" i="4"/>
  <c r="B4" i="4"/>
  <c r="B5" i="4"/>
  <c r="B6" i="4"/>
  <c r="B7" i="4"/>
  <c r="B2" i="4"/>
  <c r="B5" i="6" s="1"/>
  <c r="D5" i="6" l="1"/>
  <c r="F5" i="6" s="1"/>
  <c r="F2" i="4"/>
  <c r="F7" i="4"/>
  <c r="F6" i="4"/>
  <c r="F5" i="4"/>
  <c r="F4" i="4"/>
  <c r="F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<sst xmlns="http://schemas.openxmlformats.org/spreadsheetml/2006/main" count="6626" uniqueCount="515">
  <si>
    <t>Employee_Name</t>
  </si>
  <si>
    <t>First_Name</t>
  </si>
  <si>
    <t>Last_name</t>
  </si>
  <si>
    <t>Tenure_Years</t>
  </si>
  <si>
    <t>Salary_Band</t>
  </si>
  <si>
    <t>Performance_Category</t>
  </si>
  <si>
    <t>Attrition_Type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</si>
  <si>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</si>
  <si>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</si>
  <si>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</si>
  <si>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</si>
  <si>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</si>
  <si>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</si>
  <si>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</si>
  <si>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</si>
  <si>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</si>
  <si>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</si>
  <si>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</si>
  <si>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</si>
  <si>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</si>
  <si>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</si>
  <si>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</si>
  <si>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</si>
  <si>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</si>
  <si>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</si>
  <si>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</si>
  <si>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</si>
  <si>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</si>
  <si>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</si>
  <si>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</si>
  <si>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</si>
  <si>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</si>
  <si>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</si>
  <si>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</si>
  <si>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</si>
  <si>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</si>
  <si>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</si>
  <si>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</si>
  <si>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</si>
  <si>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</si>
  <si>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</si>
  <si>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</si>
  <si>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</si>
  <si>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MID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</si>
  <si>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</si>
  <si>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</si>
  <si>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</si>
  <si>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</si>
  <si>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</si>
  <si>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</si>
  <si>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</si>
  <si>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</si>
  <si>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</si>
  <si>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</si>
  <si>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</si>
  <si>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</si>
  <si>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</si>
  <si>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</si>
  <si>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</si>
  <si>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</si>
  <si>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</si>
  <si>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</si>
  <si>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</si>
  <si>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</si>
  <si>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</si>
  <si>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</si>
  <si>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</si>
  <si>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</si>
  <si>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</si>
  <si>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</si>
  <si>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</si>
  <si>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</si>
  <si>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</si>
  <si>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</si>
  <si>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</si>
  <si>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</si>
  <si>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</si>
  <si>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</si>
  <si>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</si>
  <si>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</si>
  <si>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</si>
  <si>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</si>
  <si>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</si>
  <si>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</si>
  <si>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</si>
  <si>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</si>
  <si>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</si>
  <si>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</si>
  <si>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</si>
  <si>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</si>
  <si>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</si>
  <si>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</si>
  <si>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</si>
  <si>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</si>
  <si>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</si>
  <si>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</si>
  <si>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</si>
  <si>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</si>
  <si>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</si>
  <si>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</si>
  <si>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</si>
  <si>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</si>
  <si>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</si>
  <si>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</si>
  <si>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</si>
  <si>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</si>
  <si>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</si>
  <si>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</si>
  <si>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</si>
  <si>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</si>
  <si>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</si>
  <si>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</si>
  <si>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</si>
  <si>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</si>
  <si>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</si>
  <si>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</si>
  <si>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</si>
  <si>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</si>
  <si>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</si>
  <si>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</si>
  <si>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</si>
  <si>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</si>
  <si>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</si>
  <si>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</si>
  <si>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</si>
  <si>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</si>
  <si>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</si>
  <si>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</si>
  <si>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</si>
  <si>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</si>
  <si>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</si>
  <si>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</si>
  <si>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</si>
  <si>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</si>
  <si>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</si>
  <si>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</si>
  <si>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</si>
  <si>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</si>
  <si>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</si>
  <si>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</si>
  <si>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</si>
  <si>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</si>
  <si>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</si>
  <si>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</si>
  <si>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</si>
  <si>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</si>
  <si>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</si>
  <si>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</si>
  <si>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</si>
  <si>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</si>
  <si>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</si>
  <si>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</si>
  <si>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</si>
  <si>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</si>
  <si>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</si>
  <si>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</si>
  <si>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</si>
  <si>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</si>
  <si>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</si>
  <si>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</si>
  <si>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</si>
  <si>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</si>
  <si>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</si>
  <si>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</si>
  <si>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</si>
  <si>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</si>
  <si>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</si>
  <si>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</si>
  <si>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</si>
  <si>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</si>
  <si>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</si>
  <si>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</si>
  <si>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</si>
  <si>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</si>
  <si>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</si>
  <si>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</si>
  <si>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</si>
  <si>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</si>
  <si>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</si>
  <si>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</si>
  <si>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</si>
  <si>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</si>
  <si>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</si>
  <si>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</si>
  <si>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</si>
  <si>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</si>
  <si>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</si>
  <si>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</si>
  <si>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</si>
  <si>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</si>
  <si>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</si>
  <si>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</si>
  <si>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</si>
  <si>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</si>
  <si>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</si>
  <si>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</si>
  <si>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</si>
  <si>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</si>
  <si>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</si>
  <si>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</si>
  <si>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</si>
  <si>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</si>
  <si>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</si>
  <si>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</si>
  <si>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</si>
  <si>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</si>
  <si>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</si>
  <si>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</si>
  <si>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</si>
  <si>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</si>
  <si>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</si>
  <si>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</si>
  <si>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</si>
  <si>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</si>
  <si>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</si>
  <si>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</si>
  <si>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</si>
  <si>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</si>
  <si>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</si>
  <si>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</si>
  <si>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</si>
  <si>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</si>
  <si>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</si>
  <si>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</si>
  <si>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</si>
  <si>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</si>
  <si>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</si>
  <si>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</si>
  <si>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</si>
  <si>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</si>
  <si>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</si>
  <si>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</si>
  <si>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</si>
  <si>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</si>
  <si>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</si>
  <si>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</si>
  <si>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</si>
  <si>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</si>
  <si>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</si>
  <si>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</si>
  <si>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</si>
  <si>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</si>
  <si>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</si>
  <si>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</si>
  <si>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</si>
  <si>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</si>
  <si>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</si>
  <si>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</si>
  <si>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</si>
  <si>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</si>
  <si>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</si>
  <si>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</si>
  <si>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</si>
  <si>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</si>
  <si>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</si>
  <si>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</si>
  <si>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</si>
  <si>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</si>
  <si>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</si>
  <si>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</si>
  <si>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</si>
  <si>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</si>
  <si>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</si>
  <si>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</si>
  <si>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</si>
  <si>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</si>
  <si>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</si>
  <si>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</si>
  <si>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</si>
  <si>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</si>
  <si>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</si>
  <si>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</si>
  <si>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</si>
  <si>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</si>
  <si>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</si>
  <si>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</si>
  <si>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</si>
  <si>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</si>
  <si>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</si>
  <si>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</si>
  <si>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</si>
  <si>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</si>
  <si>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</si>
  <si>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</si>
  <si>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</si>
  <si>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</si>
  <si>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</si>
  <si>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</si>
  <si>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</si>
  <si>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</si>
  <si>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</si>
  <si>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</si>
  <si>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</si>
  <si>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</si>
  <si>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</si>
  <si>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</si>
  <si>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</si>
  <si>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</si>
  <si>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</si>
  <si>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</si>
  <si>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</si>
  <si>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</si>
  <si>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</si>
  <si>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</si>
  <si>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</si>
  <si>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</si>
  <si>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</si>
  <si>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</si>
  <si>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</si>
  <si>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</si>
  <si>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</si>
  <si>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</si>
  <si>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</si>
  <si>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</si>
  <si>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</si>
  <si>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</si>
  <si>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</si>
  <si>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</si>
  <si>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</si>
  <si>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</si>
  <si>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</si>
  <si>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</si>
  <si>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</si>
  <si>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</si>
  <si>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</si>
  <si>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</si>
  <si>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</si>
  <si>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</si>
  <si>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</si>
  <si>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</si>
  <si>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</si>
  <si>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</si>
  <si>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</si>
  <si>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</si>
  <si>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</si>
  <si>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</si>
  <si>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</si>
  <si>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</si>
  <si>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</si>
  <si>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</si>
  <si>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</si>
  <si>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</si>
  <si>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</si>
  <si>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</si>
  <si>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</si>
  <si>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</si>
  <si>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</si>
  <si>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</si>
  <si>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</si>
  <si>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</si>
  <si>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</si>
  <si>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</si>
  <si>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</si>
  <si>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</si>
  <si>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</si>
  <si>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</si>
  <si>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</si>
  <si>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</si>
  <si>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</si>
  <si>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</si>
  <si>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</si>
  <si>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</si>
  <si>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</si>
  <si>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</si>
  <si>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</si>
  <si>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</si>
  <si>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</si>
  <si>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</si>
  <si>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</si>
  <si>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</si>
  <si>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</si>
  <si>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</si>
  <si>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</si>
  <si>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</si>
  <si>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</si>
  <si>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</si>
  <si>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</si>
  <si>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</si>
  <si>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</si>
  <si>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</si>
  <si>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</si>
  <si>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</si>
  <si>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</si>
  <si>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</si>
  <si>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</si>
  <si>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</si>
  <si>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</si>
  <si>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</si>
  <si>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</si>
  <si>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</si>
  <si>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</si>
  <si>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</si>
  <si>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</si>
  <si>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</si>
  <si>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</si>
  <si>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</si>
  <si>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</si>
  <si>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</si>
  <si>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</si>
  <si>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</si>
  <si>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</si>
  <si>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</si>
  <si>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</si>
  <si>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</si>
  <si>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</si>
  <si>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</si>
  <si>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</si>
  <si>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</si>
  <si>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</si>
  <si>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</si>
  <si>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</si>
  <si>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</si>
  <si>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</si>
  <si>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</si>
  <si>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</si>
  <si>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</si>
  <si>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</si>
  <si>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</si>
  <si>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</si>
  <si>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</si>
  <si>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</si>
  <si>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</si>
  <si>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</si>
  <si>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</si>
  <si>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</si>
  <si>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</si>
  <si>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</si>
  <si>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</si>
  <si>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</si>
  <si>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</si>
  <si>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</si>
  <si>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</si>
  <si>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</si>
  <si>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</si>
  <si>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</si>
  <si>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</si>
  <si>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</si>
  <si>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</si>
  <si>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</si>
  <si>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</si>
  <si>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</si>
  <si>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</si>
  <si>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</si>
  <si>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</si>
  <si>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</si>
  <si>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</si>
  <si>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</si>
  <si>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</si>
  <si>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</si>
  <si>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</si>
  <si>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</si>
  <si>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</si>
  <si>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</si>
  <si>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</si>
  <si>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</si>
  <si>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</si>
  <si>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</si>
  <si>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</si>
  <si>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</si>
  <si>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</si>
  <si>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</si>
  <si>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</si>
  <si>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</si>
  <si>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</si>
  <si>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</si>
  <si>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</si>
  <si>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</si>
  <si>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</si>
  <si>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</si>
  <si>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</si>
  <si>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</si>
  <si>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</si>
  <si>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</si>
  <si>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</si>
  <si>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</si>
  <si>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</si>
  <si>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</si>
  <si>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</si>
  <si>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</si>
  <si>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</si>
  <si>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</si>
  <si>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</si>
  <si>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</si>
  <si>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</si>
  <si>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</si>
  <si>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</si>
  <si>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</si>
  <si>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</si>
  <si>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</si>
  <si>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</si>
  <si>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</si>
  <si>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</si>
  <si>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</si>
  <si>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</si>
  <si>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</si>
  <si>
    <t>Employee_Count</t>
  </si>
  <si>
    <t>Total_Salary</t>
  </si>
  <si>
    <t>Average_Salary</t>
  </si>
  <si>
    <t>Employees_Who_Left</t>
  </si>
  <si>
    <t>Turnover_Rate</t>
  </si>
  <si>
    <t>Average_Tenure_Years</t>
  </si>
  <si>
    <t>Average_Engagement_Score</t>
  </si>
  <si>
    <t>Executive</t>
  </si>
  <si>
    <t>HIGH</t>
  </si>
  <si>
    <t>Count of EmpID</t>
  </si>
  <si>
    <t>Average of Salary</t>
  </si>
  <si>
    <t>Involuntary Exit</t>
  </si>
  <si>
    <t>Voluntary Exit</t>
  </si>
  <si>
    <t>Grand Total</t>
  </si>
  <si>
    <t>Retained</t>
  </si>
  <si>
    <t>HR Attrition Analysis Dashboard</t>
  </si>
  <si>
    <t>Total Employees</t>
  </si>
  <si>
    <t>Total Who Left</t>
  </si>
  <si>
    <t>Overall Turnover Rate</t>
  </si>
  <si>
    <t>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</si>
</sst>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rgb="FF000000"/>
      <name val="Calibri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49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pivotButton="1"/>
    <xf numFmtId="0" fontId="18" fillId="0" borderId="0" xfId="0" applyFont="1"/>
    <xf numFmtId="0" fontId="0" fillId="0" borderId="11" xfId="0" applyBorder="1"/>
    <xf numFmtId="0" fontId="19" fillId="0" borderId="12" xfId="0" applyFont="1" applyBorder="1"/>
    <xf numFmtId="0" fontId="0" fillId="0" borderId="13" xfId="0" applyBorder="1"/>
    <xf numFmtId="0" fontId="19" fillId="0" borderId="14" xfId="0" applyFont="1" applyBorder="1"/>
    <xf numFmtId="0" fontId="0" fillId="0" borderId="15" xfId="0" applyBorder="1"/>
    <xf numFmtId="0" fontId="0" fillId="0" borderId="10" xfId="0" applyBorder="1"/>
    <xf numFmtId="10" fontId="19" fillId="0" borderId="14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Excel Project.xlsx]Pivot_Table!PivotTable1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Pivot_Table!$B$2:$B$3</c:f>
              <c:strCache>
                <c:ptCount val="1"/>
                <c:pt idx="0">
                  <c:v>Involuntary Exit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Pivot_Table!$A$4:$A$9</c:f>
              <c:strCache>
                <c:ptCount val="5"/>
                <c:pt idx="0">
                  <c:v>Admin Offices</c:v>
                </c:pt>
                <c:pt idx="1">
                  <c:v>IT/IS</c:v>
                </c:pt>
                <c:pt idx="2">
                  <c:v>Production       </c:v>
                </c:pt>
                <c:pt idx="3">
                  <c:v>Sales</c:v>
                </c:pt>
                <c:pt idx="4">
                  <c:v>Software Engineering</c:v>
                </c:pt>
              </c:strCache>
            </c:strRef>
          </c:cat>
          <c:val>
            <c:numRef>
              <c:f>Pivot_Table!$B$4:$B$9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F-49A6-8087-74DA05774302}"/>
            </c:ext>
          </c:extLst>
        </c:ser>
        <c:ser>
          <c:idx val="1"/>
          <c:order val="1"/>
          <c:tx>
            <c:strRef>
              <c:f>Pivot_Table!$C$2:$C$3</c:f>
              <c:strCache>
                <c:ptCount val="1"/>
                <c:pt idx="0">
                  <c:v>Voluntary Exit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Pivot_Table!$A$4:$A$9</c:f>
              <c:strCache>
                <c:ptCount val="5"/>
                <c:pt idx="0">
                  <c:v>Admin Offices</c:v>
                </c:pt>
                <c:pt idx="1">
                  <c:v>IT/IS</c:v>
                </c:pt>
                <c:pt idx="2">
                  <c:v>Production       </c:v>
                </c:pt>
                <c:pt idx="3">
                  <c:v>Sales</c:v>
                </c:pt>
                <c:pt idx="4">
                  <c:v>Software Engineering</c:v>
                </c:pt>
              </c:strCache>
            </c:strRef>
          </c:cat>
          <c:val>
            <c:numRef>
              <c:f>Pivot_Table!$C$4:$C$9</c:f>
              <c:numCache>
                <c:formatCode>General</c:formatCode>
                <c:ptCount val="5"/>
                <c:pt idx="0">
                  <c:v>1</c:v>
                </c:pt>
                <c:pt idx="1">
                  <c:v>6</c:v>
                </c:pt>
                <c:pt idx="2">
                  <c:v>75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2F-49A6-8087-74DA05774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0418184"/>
        <c:axId val="1970420232"/>
      </c:barChart>
      <c:catAx>
        <c:axId val="1970418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420232"/>
        <c:crosses val="autoZero"/>
        <c:auto val="1"/>
        <c:lblAlgn val="ctr"/>
        <c:lblOffset val="100"/>
        <c:noMultiLvlLbl val="0"/>
      </c:catAx>
      <c:valAx>
        <c:axId val="197042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41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Excel Project.xlsx]Pivot_Table!PivotTable2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by Department and Attrition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Pivot_Table!$N$2:$N$3</c:f>
              <c:strCache>
                <c:ptCount val="1"/>
                <c:pt idx="0">
                  <c:v>Involuntary Exit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Pivot_Table!$M$4:$M$10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Pivot_Table!$N$4:$N$10</c:f>
              <c:numCache>
                <c:formatCode>General</c:formatCode>
                <c:ptCount val="6"/>
                <c:pt idx="0">
                  <c:v>49920</c:v>
                </c:pt>
                <c:pt idx="2">
                  <c:v>110603</c:v>
                </c:pt>
                <c:pt idx="3">
                  <c:v>60383.625</c:v>
                </c:pt>
                <c:pt idx="4">
                  <c:v>64778.5</c:v>
                </c:pt>
                <c:pt idx="5">
                  <c:v>99280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4-4731-8FA5-D9F76B0DF697}"/>
            </c:ext>
          </c:extLst>
        </c:ser>
        <c:ser>
          <c:idx val="1"/>
          <c:order val="1"/>
          <c:tx>
            <c:strRef>
              <c:f>Pivot_Table!$O$2:$O$3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Pivot_Table!$M$4:$M$10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Pivot_Table!$O$4:$O$10</c:f>
              <c:numCache>
                <c:formatCode>General</c:formatCode>
                <c:ptCount val="6"/>
                <c:pt idx="0">
                  <c:v>77315.28571428571</c:v>
                </c:pt>
                <c:pt idx="1">
                  <c:v>250000</c:v>
                </c:pt>
                <c:pt idx="2">
                  <c:v>94512.074999999997</c:v>
                </c:pt>
                <c:pt idx="3">
                  <c:v>60419.261904761908</c:v>
                </c:pt>
                <c:pt idx="4">
                  <c:v>69088.846153846156</c:v>
                </c:pt>
                <c:pt idx="5">
                  <c:v>93262.571428571435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4-4731-8FA5-D9F76B0DF697}"/>
            </c:ext>
          </c:extLst>
        </c:ser>
        <c:ser>
          <c:idx val="2"/>
          <c:order val="2"/>
          <c:tx>
            <c:strRef>
              <c:f>Pivot_Table!$P$2:$P$3</c:f>
              <c:strCache>
                <c:ptCount val="1"/>
                <c:pt idx="0">
                  <c:v>Voluntary Exit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Pivot_Table!$M$4:$M$10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Pivot_Table!$P$4:$P$10</c:f>
              <c:numCache>
                <c:formatCode>General</c:formatCode>
                <c:ptCount val="6"/>
                <c:pt idx="0">
                  <c:v>55000</c:v>
                </c:pt>
                <c:pt idx="2">
                  <c:v>105056.16666666667</c:v>
                </c:pt>
                <c:pt idx="3">
                  <c:v>59125.26666666667</c:v>
                </c:pt>
                <c:pt idx="4">
                  <c:v>71677.333333333328</c:v>
                </c:pt>
                <c:pt idx="5">
                  <c:v>97588.666666666672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44-4731-8FA5-D9F76B0DF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64231"/>
        <c:axId val="66166279"/>
      </c:barChart>
      <c:catAx>
        <c:axId val="66164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6279"/>
        <c:crosses val="autoZero"/>
        <c:auto val="1"/>
        <c:lblAlgn val="ctr"/>
        <c:lblOffset val="100"/>
        <c:noMultiLvlLbl val="0"/>
      </c:catAx>
      <c:valAx>
        <c:axId val="66166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4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3</xdr:row>
      <xdr:rowOff>123825</xdr:rowOff>
    </xdr:from>
    <xdr:to>
      <xdr:col>9</xdr:col>
      <xdr:colOff>190500</xdr:colOff>
      <xdr:row>17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Department">
              <a:extLst>
                <a:ext uri="{FF2B5EF4-FFF2-40B4-BE49-F238E27FC236}">
                  <a16:creationId xmlns:a16="http://schemas.microsoft.com/office/drawing/2014/main" id="{C160A772-65EC-1AA0-D7E9-CD86680EB998}"/>
                </a:ext>
                <a:ext uri="{147F2762-F138-4A5C-976F-8EAC2B608ADB}">
                  <a16:predDERef xmlns:a16="http://schemas.microsoft.com/office/drawing/2014/main" pred="{B01524FC-5653-4E49-FEA3-1CC9C1733C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0275" y="7239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7</xdr:row>
      <xdr:rowOff>133350</xdr:rowOff>
    </xdr:from>
    <xdr:to>
      <xdr:col>7</xdr:col>
      <xdr:colOff>266700</xdr:colOff>
      <xdr:row>19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A0981A-46AF-27D4-4907-50F198523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466725</xdr:colOff>
      <xdr:row>22</xdr:row>
      <xdr:rowOff>104775</xdr:rowOff>
    </xdr:from>
    <xdr:to>
      <xdr:col>7</xdr:col>
      <xdr:colOff>581025</xdr:colOff>
      <xdr:row>36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1524FC-5653-4E49-FEA3-1CC9C1733C70}"/>
            </a:ext>
            <a:ext uri="{147F2762-F138-4A5C-976F-8EAC2B608ADB}">
              <a16:predDERef xmlns:a16="http://schemas.microsoft.com/office/drawing/2014/main" pred="{26A0981A-46AF-27D4-4907-50F198523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96111423611" createdVersion="8" refreshedVersion="8" minRefreshableVersion="3" recordCount="311" xr:uid="{21A8AD44-9501-4467-87DD-18AA8393BCB8}">
  <cacheSource type="worksheet">
    <worksheetSource ref="A1:AP312" sheet="Employee_Data"/>
  </cacheSource>
  <cacheFields count="45">
    <cacheField name="Employee_Name" numFmtId="0">
      <sharedItems/>
    </cacheField>
    <cacheField name="First_Name" numFmtId="0">
      <sharedItems/>
    </cacheField>
    <cacheField name="Last_name" numFmtId="0">
      <sharedItems/>
    </cacheField>
    <cacheField name="Tenure_Years" numFmtId="0">
      <sharedItems containsSemiMixedTypes="0" containsString="0" containsNumber="1" containsInteger="1" minValue="0" maxValue="20"/>
    </cacheField>
    <cacheField name="Salary_Band" numFmtId="0">
      <sharedItems/>
    </cacheField>
    <cacheField name="Performance_Category" numFmtId="0">
      <sharedItems/>
    </cacheField>
    <cacheField name="Attrition_Type" numFmtId="0">
      <sharedItems count="3">
        <s v="Retained"/>
        <s v="Voluntary Exit"/>
        <s v="Involuntary Exit"/>
      </sharedItems>
    </cacheField>
    <cacheField name="EmpID" numFmtId="0">
      <sharedItems containsSemiMixedTypes="0" containsString="0" containsNumber="1" containsInteger="1" minValue="10001" maxValue="10311"/>
    </cacheField>
    <cacheField name="MarriedID" numFmtId="0">
      <sharedItems containsSemiMixedTypes="0" containsString="0" containsNumber="1" containsInteger="1" minValue="0" maxValue="1"/>
    </cacheField>
    <cacheField name="MaritalStatusID" numFmtId="0">
      <sharedItems containsSemiMixedTypes="0" containsString="0" containsNumber="1" containsInteger="1" minValue="0" maxValue="4"/>
    </cacheField>
    <cacheField name="GenderID" numFmtId="0">
      <sharedItems containsSemiMixedTypes="0" containsString="0" containsNumber="1" containsInteger="1" minValue="0" maxValue="1"/>
    </cacheField>
    <cacheField name="EmpStatusID" numFmtId="0">
      <sharedItems containsSemiMixedTypes="0" containsString="0" containsNumber="1" containsInteger="1" minValue="1" maxValue="5"/>
    </cacheField>
    <cacheField name="DeptID" numFmtId="0">
      <sharedItems containsSemiMixedTypes="0" containsString="0" containsNumber="1" containsInteger="1" minValue="1" maxValue="6"/>
    </cacheField>
    <cacheField name="PerfScoreID" numFmtId="0">
      <sharedItems containsSemiMixedTypes="0" containsString="0" containsNumber="1" containsInteger="1" minValue="1" maxValue="4"/>
    </cacheField>
    <cacheField name="FromDiversityJobFairID" numFmtId="0">
      <sharedItems containsSemiMixedTypes="0" containsString="0" containsNumber="1" containsInteger="1" minValue="0" maxValue="1"/>
    </cacheField>
    <cacheField name="Salary" numFmtId="0">
      <sharedItems containsSemiMixedTypes="0" containsString="0" containsNumber="1" containsInteger="1" minValue="45046" maxValue="250000"/>
    </cacheField>
    <cacheField name="Termd" numFmtId="0">
      <sharedItems containsSemiMixedTypes="0" containsString="0" containsNumber="1" containsInteger="1" minValue="0" maxValue="1"/>
    </cacheField>
    <cacheField name="PositionID" numFmtId="0">
      <sharedItems containsSemiMixedTypes="0" containsString="0" containsNumber="1" containsInteger="1" minValue="1" maxValue="30"/>
    </cacheField>
    <cacheField name="Position" numFmtId="0">
      <sharedItems/>
    </cacheField>
    <cacheField name="State" numFmtId="0">
      <sharedItems/>
    </cacheField>
    <cacheField name="Zip" numFmtId="0">
      <sharedItems containsSemiMixedTypes="0" containsString="0" containsNumber="1" containsInteger="1" minValue="1013" maxValue="98052"/>
    </cacheField>
    <cacheField name="DOB" numFmtId="14">
      <sharedItems containsSemiMixedTypes="0" containsNonDate="0" containsDate="1" containsString="0" minDate="1951-01-02T00:00:00" maxDate="1992-08-18T00:00:00"/>
    </cacheField>
    <cacheField name="Sex" numFmtId="0">
      <sharedItems/>
    </cacheField>
    <cacheField name="MaritalDesc" numFmtId="0">
      <sharedItems/>
    </cacheField>
    <cacheField name="CitizenDesc" numFmtId="0">
      <sharedItems/>
    </cacheField>
    <cacheField name="HispanicLatino" numFmtId="0">
      <sharedItems/>
    </cacheField>
    <cacheField name="RaceDesc" numFmtId="0">
      <sharedItems/>
    </cacheField>
    <cacheField name="DateofHire" numFmtId="14">
      <sharedItems containsSemiMixedTypes="0" containsNonDate="0" containsDate="1" containsString="0" minDate="2006-01-09T00:00:00" maxDate="2018-07-10T00:00:00"/>
    </cacheField>
    <cacheField name="DateofTermination" numFmtId="0">
      <sharedItems containsNonDate="0" containsDate="1" containsString="0" containsBlank="1" minDate="2010-08-30T00:00:00" maxDate="2018-11-11T00:00:00"/>
    </cacheField>
    <cacheField name="TermReason" numFmtId="0">
      <sharedItems/>
    </cacheField>
    <cacheField name="EmploymentStatus" numFmtId="0">
      <sharedItems/>
    </cacheField>
    <cacheField name="Department" numFmtId="0">
      <sharedItems count="6">
        <s v="Production       "/>
        <s v="IT/IS"/>
        <s v="Software Engineering"/>
        <s v="Admin Offices"/>
        <s v="Sales"/>
        <s v="Executive Office"/>
      </sharedItems>
    </cacheField>
    <cacheField name="ManagerName" numFmtId="0">
      <sharedItems/>
    </cacheField>
    <cacheField name="ManagerID" numFmtId="0">
      <sharedItems containsString="0" containsBlank="1" containsNumber="1" containsInteger="1" minValue="1" maxValue="39"/>
    </cacheField>
    <cacheField name="RecruitmentSource" numFmtId="0">
      <sharedItems/>
    </cacheField>
    <cacheField name="PerformanceScore" numFmtId="0">
      <sharedItems/>
    </cacheField>
    <cacheField name="EngagementSurvey" numFmtId="0">
      <sharedItems containsSemiMixedTypes="0" containsString="0" containsNumber="1" minValue="1.1200000000000001" maxValue="5"/>
    </cacheField>
    <cacheField name="EmpSatisfaction" numFmtId="0">
      <sharedItems containsSemiMixedTypes="0" containsString="0" containsNumber="1" containsInteger="1" minValue="1" maxValue="5"/>
    </cacheField>
    <cacheField name="SpecialProjectsCount" numFmtId="0">
      <sharedItems containsSemiMixedTypes="0" containsString="0" containsNumber="1" containsInteger="1" minValue="0" maxValue="8"/>
    </cacheField>
    <cacheField name="LastPerformanceReview_Date" numFmtId="14">
      <sharedItems containsSemiMixedTypes="0" containsNonDate="0" containsDate="1" containsString="0" minDate="2010-07-14T00:00:00" maxDate="2019-03-01T00:00:00"/>
    </cacheField>
    <cacheField name="DaysLateLast30" numFmtId="0">
      <sharedItems containsSemiMixedTypes="0" containsString="0" containsNumber="1" containsInteger="1" minValue="0" maxValue="6"/>
    </cacheField>
    <cacheField name="Absences" numFmtId="0">
      <sharedItems containsSemiMixedTypes="0" containsString="0" containsNumber="1" containsInteger="1" minValue="1" maxValue="20"/>
    </cacheField>
    <cacheField name="Salary_Band_Lookup" numFmtId="0">
      <sharedItems/>
    </cacheField>
    <cacheField name="Salary_Band_VLookup" numFmtId="0">
      <sharedItems/>
    </cacheField>
    <cacheField name="Salary_Band_Index" numFmtId="0">
      <sharedItems/>
    </cacheField>
  </cacheFields>
  <extLst>
    <ext xmlns:x14="http://schemas.microsoft.com/office/spreadsheetml/2009/9/main" uri="{725AE2AE-9491-48be-B2B4-4EB974FC3084}">
      <x14:pivotCacheDefinition pivotCacheId="6212107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s v="Adinolfi, Wilson  K"/>
    <s v="Wilson K"/>
    <s v="Adinolfi"/>
    <n v="14"/>
    <s v="MID"/>
    <s v="Top Performer"/>
    <x v="0"/>
    <n v="10026"/>
    <n v="0"/>
    <n v="0"/>
    <n v="1"/>
    <n v="1"/>
    <n v="5"/>
    <n v="4"/>
    <n v="0"/>
    <n v="62506"/>
    <n v="0"/>
    <n v="19"/>
    <s v="Production Technician I"/>
    <s v="MA"/>
    <n v="1960"/>
    <d v="1983-07-10T00:00:00"/>
    <s v="M "/>
    <s v="Single"/>
    <s v="US Citizen"/>
    <s v="No"/>
    <s v="White"/>
    <d v="2011-07-05T00:00:00"/>
    <m/>
    <s v="N/A-StillEmployed"/>
    <s v="Active"/>
    <x v="0"/>
    <s v="Michael Albert"/>
    <n v="22"/>
    <s v="LinkedIn"/>
    <s v="Exceeds"/>
    <n v="4.5999999999999996"/>
    <n v="5"/>
    <n v="0"/>
    <d v="2019-01-17T00:00:00"/>
    <n v="0"/>
    <n v="1"/>
    <s v="MID"/>
    <s v="MID"/>
    <s v="MID"/>
  </r>
  <r>
    <s v="Ait Sidi, Karthikeyan   "/>
    <s v="Karthikeyan"/>
    <s v="Ait Sidi"/>
    <n v="1"/>
    <s v="Executive"/>
    <s v="Solid Performer"/>
    <x v="1"/>
    <n v="10084"/>
    <n v="1"/>
    <n v="1"/>
    <n v="1"/>
    <n v="5"/>
    <n v="3"/>
    <n v="3"/>
    <n v="0"/>
    <n v="104437"/>
    <n v="1"/>
    <n v="27"/>
    <s v="Sr. DBA"/>
    <s v="MA"/>
    <n v="2148"/>
    <d v="1975-05-05T00:00:00"/>
    <s v="M "/>
    <s v="Married"/>
    <s v="US Citizen"/>
    <s v="No"/>
    <s v="White"/>
    <d v="2015-03-30T00:00:00"/>
    <d v="2016-06-16T00:00:00"/>
    <s v="career change"/>
    <s v="Voluntarily Terminated"/>
    <x v="1"/>
    <s v="Simon Roup"/>
    <n v="4"/>
    <s v="Indeed"/>
    <s v="Fully Meets"/>
    <n v="4.96"/>
    <n v="3"/>
    <n v="6"/>
    <d v="2016-02-24T00:00:00"/>
    <n v="0"/>
    <n v="17"/>
    <s v="Executive"/>
    <s v="Executive"/>
    <s v="Executive"/>
  </r>
  <r>
    <s v="Akinkuolie, Sarah"/>
    <s v="Sarah"/>
    <s v="Akinkuolie"/>
    <n v="1"/>
    <s v="MID"/>
    <s v="Solid Performer"/>
    <x v="1"/>
    <n v="10196"/>
    <n v="1"/>
    <n v="1"/>
    <n v="0"/>
    <n v="5"/>
    <n v="5"/>
    <n v="3"/>
    <n v="0"/>
    <n v="64955"/>
    <n v="1"/>
    <n v="20"/>
    <s v="Production Technician II"/>
    <s v="MA"/>
    <n v="1810"/>
    <d v="1988-09-19T00:00:00"/>
    <s v="F"/>
    <s v="Married"/>
    <s v="US Citizen"/>
    <s v="No"/>
    <s v="White"/>
    <d v="2011-07-05T00:00:00"/>
    <d v="2012-09-24T00:00:00"/>
    <s v="hours"/>
    <s v="Voluntarily Terminated"/>
    <x v="0"/>
    <s v="Kissy Sullivan"/>
    <n v="20"/>
    <s v="LinkedIn"/>
    <s v="Fully Meets"/>
    <n v="3.02"/>
    <n v="3"/>
    <n v="0"/>
    <d v="2012-05-15T00:00:00"/>
    <n v="0"/>
    <n v="3"/>
    <s v="MID"/>
    <s v="MID"/>
    <s v="MID"/>
  </r>
  <r>
    <s v="Alagbe,Trina"/>
    <s v="Trina"/>
    <s v="Alagbe"/>
    <n v="18"/>
    <s v="MID"/>
    <s v="Solid Performer"/>
    <x v="0"/>
    <n v="10088"/>
    <n v="1"/>
    <n v="1"/>
    <n v="0"/>
    <n v="1"/>
    <n v="5"/>
    <n v="3"/>
    <n v="0"/>
    <n v="64991"/>
    <n v="0"/>
    <n v="19"/>
    <s v="Production Technician I"/>
    <s v="MA"/>
    <n v="1886"/>
    <d v="1988-09-27T00:00:00"/>
    <s v="F"/>
    <s v="Married"/>
    <s v="US Citizen"/>
    <s v="No"/>
    <s v="White"/>
    <d v="2008-01-07T00:00:00"/>
    <m/>
    <s v="N/A-StillEmployed"/>
    <s v="Active"/>
    <x v="0"/>
    <s v="Elijiah Gray"/>
    <n v="16"/>
    <s v="Indeed"/>
    <s v="Fully Meets"/>
    <n v="4.84"/>
    <n v="5"/>
    <n v="0"/>
    <d v="2019-01-03T00:00:00"/>
    <n v="0"/>
    <n v="15"/>
    <s v="MID"/>
    <s v="MID"/>
    <s v="MID"/>
  </r>
  <r>
    <s v="Anderson, Carol "/>
    <s v="Carol"/>
    <s v="Anderson"/>
    <n v="5"/>
    <s v="MID"/>
    <s v="Solid Performer"/>
    <x v="1"/>
    <n v="10069"/>
    <n v="0"/>
    <n v="2"/>
    <n v="0"/>
    <n v="5"/>
    <n v="5"/>
    <n v="3"/>
    <n v="0"/>
    <n v="50825"/>
    <n v="1"/>
    <n v="19"/>
    <s v="Production Technician I"/>
    <s v="MA"/>
    <n v="2169"/>
    <d v="1989-09-08T00:00:00"/>
    <s v="F"/>
    <s v="Divorced"/>
    <s v="US Citizen"/>
    <s v="No"/>
    <s v="White"/>
    <d v="2011-07-11T00:00:00"/>
    <d v="2016-09-06T00:00:00"/>
    <s v="return to school"/>
    <s v="Voluntarily Terminated"/>
    <x v="0"/>
    <s v="Webster Butler"/>
    <n v="39"/>
    <s v="Google Search"/>
    <s v="Fully Meets"/>
    <n v="5"/>
    <n v="4"/>
    <n v="0"/>
    <d v="2016-02-01T00:00:00"/>
    <n v="0"/>
    <n v="2"/>
    <s v="MID"/>
    <s v="MID"/>
    <s v="MID"/>
  </r>
  <r>
    <s v="Anderson, Linda  "/>
    <s v="Linda"/>
    <s v="Anderson"/>
    <n v="14"/>
    <s v="MID"/>
    <s v="Top Performer"/>
    <x v="0"/>
    <n v="10002"/>
    <n v="0"/>
    <n v="0"/>
    <n v="0"/>
    <n v="1"/>
    <n v="5"/>
    <n v="4"/>
    <n v="0"/>
    <n v="57568"/>
    <n v="0"/>
    <n v="19"/>
    <s v="Production Technician I"/>
    <s v="MA"/>
    <n v="1844"/>
    <d v="1977-05-22T00:00:00"/>
    <s v="F"/>
    <s v="Single"/>
    <s v="US Citizen"/>
    <s v="No"/>
    <s v="White"/>
    <d v="2012-01-09T00:00:00"/>
    <m/>
    <s v="N/A-StillEmployed"/>
    <s v="Active"/>
    <x v="0"/>
    <s v="Amy Dunn"/>
    <n v="11"/>
    <s v="LinkedIn"/>
    <s v="Exceeds"/>
    <n v="5"/>
    <n v="5"/>
    <n v="0"/>
    <d v="2019-01-07T00:00:00"/>
    <n v="0"/>
    <n v="15"/>
    <s v="MID"/>
    <s v="MID"/>
    <s v="MID"/>
  </r>
  <r>
    <s v="Andreola, Colby"/>
    <s v="Colby"/>
    <s v="Andreola"/>
    <n v="11"/>
    <s v="HIGH"/>
    <s v="Solid Performer"/>
    <x v="0"/>
    <n v="10194"/>
    <n v="0"/>
    <n v="0"/>
    <n v="0"/>
    <n v="1"/>
    <n v="4"/>
    <n v="3"/>
    <n v="0"/>
    <n v="95660"/>
    <n v="0"/>
    <n v="24"/>
    <s v="Software Engineer"/>
    <s v="MA"/>
    <n v="2110"/>
    <d v="1979-05-24T00:00:00"/>
    <s v="F"/>
    <s v="Single"/>
    <s v="US Citizen"/>
    <s v="No"/>
    <s v="White"/>
    <d v="2014-11-10T00:00:00"/>
    <m/>
    <s v="N/A-StillEmployed"/>
    <s v="Active"/>
    <x v="2"/>
    <s v="Alex Sweetwater"/>
    <n v="10"/>
    <s v="LinkedIn"/>
    <s v="Fully Meets"/>
    <n v="3.04"/>
    <n v="3"/>
    <n v="4"/>
    <d v="2019-01-02T00:00:00"/>
    <n v="0"/>
    <n v="19"/>
    <s v="HIGH"/>
    <s v="HIGH"/>
    <s v="HIGH"/>
  </r>
  <r>
    <s v="Athwal, Sam"/>
    <s v="Sam"/>
    <s v="Athwal"/>
    <n v="12"/>
    <s v="MID"/>
    <s v="Solid Performer"/>
    <x v="0"/>
    <n v="10062"/>
    <n v="0"/>
    <n v="4"/>
    <n v="1"/>
    <n v="1"/>
    <n v="5"/>
    <n v="3"/>
    <n v="0"/>
    <n v="59365"/>
    <n v="0"/>
    <n v="19"/>
    <s v="Production Technician I"/>
    <s v="MA"/>
    <n v="2199"/>
    <d v="1983-02-18T00:00:00"/>
    <s v="M "/>
    <s v="Widowed"/>
    <s v="US Citizen"/>
    <s v="No"/>
    <s v="White"/>
    <d v="2013-09-30T00:00:00"/>
    <m/>
    <s v="N/A-StillEmployed"/>
    <s v="Active"/>
    <x v="0"/>
    <s v="Ketsia Liebig"/>
    <n v="19"/>
    <s v="Employee Referral"/>
    <s v="Fully Meets"/>
    <n v="5"/>
    <n v="4"/>
    <n v="0"/>
    <d v="2019-02-25T00:00:00"/>
    <n v="0"/>
    <n v="19"/>
    <s v="MID"/>
    <s v="MID"/>
    <s v="MID"/>
  </r>
  <r>
    <s v="Bachiochi, Linda"/>
    <s v="Linda"/>
    <s v="Bachiochi"/>
    <n v="16"/>
    <s v="MID"/>
    <s v="Solid Performer"/>
    <x v="0"/>
    <n v="10114"/>
    <n v="0"/>
    <n v="0"/>
    <n v="0"/>
    <n v="3"/>
    <n v="5"/>
    <n v="3"/>
    <n v="1"/>
    <n v="47837"/>
    <n v="0"/>
    <n v="19"/>
    <s v="Production Technician I"/>
    <s v="MA"/>
    <n v="1902"/>
    <d v="1970-02-11T00:00:00"/>
    <s v="F"/>
    <s v="Single"/>
    <s v="US Citizen"/>
    <s v="No"/>
    <s v="Black or African American"/>
    <d v="2009-07-06T00:00:00"/>
    <m/>
    <s v="N/A-StillEmployed"/>
    <s v="Active"/>
    <x v="0"/>
    <s v="Brannon Miller"/>
    <n v="12"/>
    <s v="Diversity Job Fair"/>
    <s v="Fully Meets"/>
    <n v="4.46"/>
    <n v="3"/>
    <n v="0"/>
    <d v="2019-01-25T00:00:00"/>
    <n v="0"/>
    <n v="4"/>
    <s v="MID"/>
    <s v="MID"/>
    <s v="MID"/>
  </r>
  <r>
    <s v="Bacong, Alejandro "/>
    <s v="Alejandro"/>
    <s v="Bacong"/>
    <n v="11"/>
    <s v="MID"/>
    <s v="Solid Performer"/>
    <x v="0"/>
    <n v="10250"/>
    <n v="0"/>
    <n v="2"/>
    <n v="1"/>
    <n v="1"/>
    <n v="3"/>
    <n v="3"/>
    <n v="0"/>
    <n v="50178"/>
    <n v="0"/>
    <n v="14"/>
    <s v="IT Support"/>
    <s v="MA"/>
    <n v="1886"/>
    <d v="1988-01-07T00:00:00"/>
    <s v="M "/>
    <s v="Divorced"/>
    <s v="US Citizen"/>
    <s v="No"/>
    <s v="White"/>
    <d v="2015-01-05T00:00:00"/>
    <m/>
    <s v="N/A-StillEmployed"/>
    <s v="Active"/>
    <x v="1"/>
    <s v="Peter Monroe"/>
    <n v="7"/>
    <s v="Indeed"/>
    <s v="Fully Meets"/>
    <n v="5"/>
    <n v="5"/>
    <n v="6"/>
    <d v="2019-02-18T00:00:00"/>
    <n v="0"/>
    <n v="16"/>
    <s v="MID"/>
    <s v="MID"/>
    <s v="MID"/>
  </r>
  <r>
    <s v="Baczenski, Rachael  "/>
    <s v="Rachael"/>
    <s v="Baczenski"/>
    <n v="6"/>
    <s v="MID"/>
    <s v="Solid Performer"/>
    <x v="1"/>
    <n v="10252"/>
    <n v="1"/>
    <n v="1"/>
    <n v="0"/>
    <n v="5"/>
    <n v="5"/>
    <n v="3"/>
    <n v="1"/>
    <n v="54670"/>
    <n v="1"/>
    <n v="19"/>
    <s v="Production Technician I"/>
    <s v="MA"/>
    <n v="1902"/>
    <d v="1974-01-12T00:00:00"/>
    <s v="F"/>
    <s v="Married"/>
    <s v="US Citizen"/>
    <s v="Yes"/>
    <s v="Black or African American"/>
    <d v="2011-01-10T00:00:00"/>
    <d v="2017-01-12T00:00:00"/>
    <s v="Another position"/>
    <s v="Voluntarily Terminated"/>
    <x v="0"/>
    <s v="David Stanley"/>
    <n v="14"/>
    <s v="Diversity Job Fair"/>
    <s v="Fully Meets"/>
    <n v="4.2"/>
    <n v="4"/>
    <n v="0"/>
    <d v="2016-01-30T00:00:00"/>
    <n v="0"/>
    <n v="12"/>
    <s v="MID"/>
    <s v="MID"/>
    <s v="MID"/>
  </r>
  <r>
    <s v="Barbara, Thomas"/>
    <s v="Thomas"/>
    <s v="Barbara"/>
    <n v="4"/>
    <s v="MID"/>
    <s v="Solid Performer"/>
    <x v="1"/>
    <n v="10242"/>
    <n v="1"/>
    <n v="1"/>
    <n v="1"/>
    <n v="5"/>
    <n v="5"/>
    <n v="3"/>
    <n v="1"/>
    <n v="47211"/>
    <n v="1"/>
    <n v="19"/>
    <s v="Production Technician I"/>
    <s v="MA"/>
    <n v="2062"/>
    <d v="1974-02-21T00:00:00"/>
    <s v="M "/>
    <s v="Married"/>
    <s v="US Citizen"/>
    <s v="Yes"/>
    <s v="Black or African American"/>
    <d v="2012-04-02T00:00:00"/>
    <d v="2016-09-19T00:00:00"/>
    <s v="unhappy"/>
    <s v="Voluntarily Terminated"/>
    <x v="0"/>
    <s v="Kissy Sullivan"/>
    <n v="20"/>
    <s v="Diversity Job Fair"/>
    <s v="Fully Meets"/>
    <n v="4.2"/>
    <n v="3"/>
    <n v="0"/>
    <d v="2016-05-06T00:00:00"/>
    <n v="0"/>
    <n v="15"/>
    <s v="MID"/>
    <s v="MID"/>
    <s v="MID"/>
  </r>
  <r>
    <s v="Barbossa, Hector"/>
    <s v="Hector"/>
    <s v="Barbossa"/>
    <n v="11"/>
    <s v="HIGH"/>
    <s v="Top Performer"/>
    <x v="0"/>
    <n v="10012"/>
    <n v="0"/>
    <n v="2"/>
    <n v="1"/>
    <n v="1"/>
    <n v="3"/>
    <n v="4"/>
    <n v="1"/>
    <n v="92328"/>
    <n v="0"/>
    <n v="9"/>
    <s v="Data Analyst"/>
    <s v="TX"/>
    <n v="78230"/>
    <d v="1988-07-04T00:00:00"/>
    <s v="M "/>
    <s v="Divorced"/>
    <s v="US Citizen"/>
    <s v="No"/>
    <s v="Black or African American"/>
    <d v="2014-11-10T00:00:00"/>
    <m/>
    <s v="N/A-StillEmployed"/>
    <s v="Active"/>
    <x v="1"/>
    <s v="Simon Roup"/>
    <n v="4"/>
    <s v="Diversity Job Fair"/>
    <s v="Exceeds"/>
    <n v="4.28"/>
    <n v="4"/>
    <n v="5"/>
    <d v="2019-02-25T00:00:00"/>
    <n v="0"/>
    <n v="9"/>
    <s v="HIGH"/>
    <s v="HIGH"/>
    <s v="HIGH"/>
  </r>
  <r>
    <s v="Barone, Francesco  A"/>
    <s v="Francesco A"/>
    <s v="Barone"/>
    <n v="14"/>
    <s v="MID"/>
    <s v="Solid Performer"/>
    <x v="0"/>
    <n v="10265"/>
    <n v="0"/>
    <n v="0"/>
    <n v="1"/>
    <n v="1"/>
    <n v="5"/>
    <n v="3"/>
    <n v="0"/>
    <n v="58709"/>
    <n v="0"/>
    <n v="19"/>
    <s v="Production Technician I"/>
    <s v="MA"/>
    <n v="1810"/>
    <d v="1983-07-20T00:00:00"/>
    <s v="M "/>
    <s v="Single"/>
    <s v="US Citizen"/>
    <s v="No"/>
    <s v="Two or more races"/>
    <d v="2012-02-20T00:00:00"/>
    <m/>
    <s v="N/A-StillEmployed"/>
    <s v="Active"/>
    <x v="0"/>
    <s v="Kelley Spirea"/>
    <n v="18"/>
    <s v="Google Search"/>
    <s v="Fully Meets"/>
    <n v="4.5999999999999996"/>
    <n v="4"/>
    <n v="0"/>
    <d v="2019-02-14T00:00:00"/>
    <n v="0"/>
    <n v="7"/>
    <s v="MID"/>
    <s v="MID"/>
    <s v="MID"/>
  </r>
  <r>
    <s v="Barton, Nader"/>
    <s v="Nader"/>
    <s v="Barton"/>
    <n v="4"/>
    <s v="MID"/>
    <s v="Solid Performer"/>
    <x v="1"/>
    <n v="10066"/>
    <n v="0"/>
    <n v="2"/>
    <n v="1"/>
    <n v="5"/>
    <n v="5"/>
    <n v="3"/>
    <n v="0"/>
    <n v="52505"/>
    <n v="1"/>
    <n v="19"/>
    <s v="Production Technician I"/>
    <s v="MA"/>
    <n v="2747"/>
    <d v="1977-07-15T00:00:00"/>
    <s v="M "/>
    <s v="Divorced"/>
    <s v="US Citizen"/>
    <s v="No"/>
    <s v="White"/>
    <d v="2012-09-24T00:00:00"/>
    <d v="2017-04-06T00:00:00"/>
    <s v="Another position"/>
    <s v="Voluntarily Terminated"/>
    <x v="0"/>
    <s v="Michael Albert"/>
    <n v="22"/>
    <s v="On-line Web application"/>
    <s v="Fully Meets"/>
    <n v="5"/>
    <n v="5"/>
    <n v="0"/>
    <d v="2017-03-02T00:00:00"/>
    <n v="0"/>
    <n v="1"/>
    <s v="MID"/>
    <s v="MID"/>
    <s v="MID"/>
  </r>
  <r>
    <s v="Bates, Norman"/>
    <s v="Norman"/>
    <s v="Bates"/>
    <n v="6"/>
    <s v="MID"/>
    <s v="Solid Performer"/>
    <x v="2"/>
    <n v="10061"/>
    <n v="0"/>
    <n v="0"/>
    <n v="1"/>
    <n v="4"/>
    <n v="5"/>
    <n v="3"/>
    <n v="0"/>
    <n v="57834"/>
    <n v="1"/>
    <n v="19"/>
    <s v="Production Technician I"/>
    <s v="MA"/>
    <n v="2050"/>
    <d v="1981-10-18T00:00:00"/>
    <s v="M "/>
    <s v="Single"/>
    <s v="US Citizen"/>
    <s v="No"/>
    <s v="White"/>
    <d v="2011-02-21T00:00:00"/>
    <d v="2017-08-04T00:00:00"/>
    <s v="attendance"/>
    <s v="Terminated for Cause"/>
    <x v="0"/>
    <s v="Kelley Spirea"/>
    <n v="18"/>
    <s v="Google Search"/>
    <s v="Fully Meets"/>
    <n v="5"/>
    <n v="4"/>
    <n v="0"/>
    <d v="2017-04-05T00:00:00"/>
    <n v="0"/>
    <n v="20"/>
    <s v="MID"/>
    <s v="MID"/>
    <s v="MID"/>
  </r>
  <r>
    <s v="Beak, Kimberly  "/>
    <s v="Kimberly"/>
    <s v="Beak"/>
    <n v="9"/>
    <s v="HIGH"/>
    <s v="Top Performer"/>
    <x v="0"/>
    <n v="10023"/>
    <n v="1"/>
    <n v="1"/>
    <n v="0"/>
    <n v="2"/>
    <n v="5"/>
    <n v="4"/>
    <n v="0"/>
    <n v="70131"/>
    <n v="0"/>
    <n v="20"/>
    <s v="Production Technician II"/>
    <s v="MA"/>
    <n v="2145"/>
    <d v="1966-04-17T00:00:00"/>
    <s v="F"/>
    <s v="Married"/>
    <s v="US Citizen"/>
    <s v="No"/>
    <s v="White"/>
    <d v="2016-07-21T00:00:00"/>
    <m/>
    <s v="N/A-StillEmployed"/>
    <s v="Active"/>
    <x v="0"/>
    <s v="Kelley Spirea"/>
    <n v="18"/>
    <s v="Employee Referral"/>
    <s v="Exceeds"/>
    <n v="4.4000000000000004"/>
    <n v="3"/>
    <n v="0"/>
    <d v="2019-01-14T00:00:00"/>
    <n v="0"/>
    <n v="16"/>
    <s v="HIGH"/>
    <s v="HIGH"/>
    <s v="HIGH"/>
  </r>
  <r>
    <s v="Beatrice, Courtney "/>
    <s v="Courtney"/>
    <s v="Beatrice"/>
    <n v="14"/>
    <s v="MID"/>
    <s v="Solid Performer"/>
    <x v="0"/>
    <n v="10055"/>
    <n v="0"/>
    <n v="0"/>
    <n v="0"/>
    <n v="1"/>
    <n v="5"/>
    <n v="3"/>
    <n v="0"/>
    <n v="59026"/>
    <n v="0"/>
    <n v="19"/>
    <s v="Production Technician I"/>
    <s v="MA"/>
    <n v="1915"/>
    <d v="1970-10-27T00:00:00"/>
    <s v="F"/>
    <s v="Single"/>
    <s v="Eligible NonCitizen"/>
    <s v="No"/>
    <s v="White"/>
    <d v="2011-04-04T00:00:00"/>
    <m/>
    <s v="N/A-StillEmployed"/>
    <s v="Active"/>
    <x v="0"/>
    <s v="Elijiah Gray"/>
    <n v="16"/>
    <s v="Google Search"/>
    <s v="Fully Meets"/>
    <n v="5"/>
    <n v="5"/>
    <n v="0"/>
    <d v="2019-01-14T00:00:00"/>
    <n v="0"/>
    <n v="12"/>
    <s v="MID"/>
    <s v="MID"/>
    <s v="MID"/>
  </r>
  <r>
    <s v="Becker, Renee"/>
    <s v="Renee"/>
    <s v="Becker"/>
    <n v="1"/>
    <s v="Executive"/>
    <s v="Solid Performer"/>
    <x v="2"/>
    <n v="10245"/>
    <n v="0"/>
    <n v="0"/>
    <n v="0"/>
    <n v="4"/>
    <n v="3"/>
    <n v="3"/>
    <n v="0"/>
    <n v="110000"/>
    <n v="1"/>
    <n v="8"/>
    <s v="Database Administrator"/>
    <s v="MA"/>
    <n v="2026"/>
    <d v="1986-04-04T00:00:00"/>
    <s v="F"/>
    <s v="Single"/>
    <s v="US Citizen"/>
    <s v="Yes"/>
    <s v="White"/>
    <d v="2014-07-07T00:00:00"/>
    <d v="2015-09-12T00:00:00"/>
    <s v="performance"/>
    <s v="Terminated for Cause"/>
    <x v="1"/>
    <s v="Simon Roup"/>
    <n v="4"/>
    <s v="Google Search"/>
    <s v="Fully Meets"/>
    <n v="4.5"/>
    <n v="4"/>
    <n v="5"/>
    <d v="2015-01-15T00:00:00"/>
    <n v="0"/>
    <n v="8"/>
    <s v="Executive"/>
    <s v="Executive"/>
    <s v="Executive"/>
  </r>
  <r>
    <s v="Becker, Scott"/>
    <s v="Scott"/>
    <s v="Becker"/>
    <n v="12"/>
    <s v="MID"/>
    <s v="Solid Performer"/>
    <x v="0"/>
    <n v="10277"/>
    <n v="0"/>
    <n v="0"/>
    <n v="1"/>
    <n v="3"/>
    <n v="5"/>
    <n v="3"/>
    <n v="0"/>
    <n v="53250"/>
    <n v="0"/>
    <n v="19"/>
    <s v="Production Technician I"/>
    <s v="MA"/>
    <n v="2452"/>
    <d v="1979-04-06T00:00:00"/>
    <s v="M "/>
    <s v="Single"/>
    <s v="US Citizen"/>
    <s v="No"/>
    <s v="Asian"/>
    <d v="2013-07-08T00:00:00"/>
    <m/>
    <s v="N/A-StillEmployed"/>
    <s v="Active"/>
    <x v="0"/>
    <s v="Webster Butler"/>
    <m/>
    <s v="LinkedIn"/>
    <s v="Fully Meets"/>
    <n v="4.2"/>
    <n v="4"/>
    <n v="0"/>
    <d v="2019-01-11T00:00:00"/>
    <n v="0"/>
    <n v="13"/>
    <s v="MID"/>
    <s v="MID"/>
    <s v="MID"/>
  </r>
  <r>
    <s v="Bernstein, Sean"/>
    <s v="Sean"/>
    <s v="Bernstein"/>
    <n v="13"/>
    <s v="MID"/>
    <s v="Solid Performer"/>
    <x v="0"/>
    <n v="10046"/>
    <n v="0"/>
    <n v="0"/>
    <n v="1"/>
    <n v="1"/>
    <n v="5"/>
    <n v="3"/>
    <n v="0"/>
    <n v="51044"/>
    <n v="0"/>
    <n v="19"/>
    <s v="Production Technician I"/>
    <s v="MA"/>
    <n v="2072"/>
    <d v="1970-12-22T00:00:00"/>
    <s v="M "/>
    <s v="Single"/>
    <s v="US Citizen"/>
    <s v="Yes"/>
    <s v="White"/>
    <d v="2012-04-02T00:00:00"/>
    <m/>
    <s v="N/A-StillEmployed"/>
    <s v="Active"/>
    <x v="0"/>
    <s v="Amy Dunn"/>
    <n v="11"/>
    <s v="Google Search"/>
    <s v="Fully Meets"/>
    <n v="5"/>
    <n v="3"/>
    <n v="0"/>
    <d v="2019-01-14T00:00:00"/>
    <n v="0"/>
    <n v="13"/>
    <s v="MID"/>
    <s v="MID"/>
    <s v="MID"/>
  </r>
  <r>
    <s v="Biden, Lowan  M"/>
    <s v="Lowan M"/>
    <s v="Biden"/>
    <n v="12"/>
    <s v="MID"/>
    <s v="Solid Performer"/>
    <x v="0"/>
    <n v="10226"/>
    <n v="0"/>
    <n v="2"/>
    <n v="0"/>
    <n v="1"/>
    <n v="5"/>
    <n v="3"/>
    <n v="0"/>
    <n v="64919"/>
    <n v="0"/>
    <n v="19"/>
    <s v="Production Technician I"/>
    <s v="MA"/>
    <n v="2027"/>
    <d v="1958-12-27T00:00:00"/>
    <s v="F"/>
    <s v="Divorced"/>
    <s v="US Citizen"/>
    <s v="No"/>
    <s v="Asian"/>
    <d v="2013-08-19T00:00:00"/>
    <m/>
    <s v="N/A-StillEmployed"/>
    <s v="Active"/>
    <x v="0"/>
    <s v="Ketsia Liebig"/>
    <n v="19"/>
    <s v="Indeed"/>
    <s v="Fully Meets"/>
    <n v="4.2"/>
    <n v="3"/>
    <n v="0"/>
    <d v="2019-01-10T00:00:00"/>
    <n v="0"/>
    <n v="2"/>
    <s v="MID"/>
    <s v="MID"/>
    <s v="MID"/>
  </r>
  <r>
    <s v="Billis, Helen"/>
    <s v="Helen"/>
    <s v="Billis"/>
    <n v="11"/>
    <s v="MID"/>
    <s v="Top Performer"/>
    <x v="0"/>
    <n v="10003"/>
    <n v="1"/>
    <n v="1"/>
    <n v="0"/>
    <n v="1"/>
    <n v="5"/>
    <n v="4"/>
    <n v="0"/>
    <n v="62910"/>
    <n v="0"/>
    <n v="19"/>
    <s v="Production Technician I"/>
    <s v="MA"/>
    <n v="2031"/>
    <d v="1989-09-01T00:00:00"/>
    <s v="F"/>
    <s v="Married"/>
    <s v="US Citizen"/>
    <s v="No"/>
    <s v="White"/>
    <d v="2014-07-07T00:00:00"/>
    <m/>
    <s v="N/A-StillEmployed"/>
    <s v="Active"/>
    <x v="0"/>
    <s v="Brannon Miller"/>
    <n v="12"/>
    <s v="Indeed"/>
    <s v="Exceeds"/>
    <n v="5"/>
    <n v="3"/>
    <n v="0"/>
    <d v="2019-02-27T00:00:00"/>
    <n v="0"/>
    <n v="19"/>
    <s v="MID"/>
    <s v="MID"/>
    <s v="MID"/>
  </r>
  <r>
    <s v="Blount, Dianna"/>
    <s v="Dianna"/>
    <s v="Blount"/>
    <n v="14"/>
    <s v="MID"/>
    <s v="Underperformer"/>
    <x v="0"/>
    <n v="10294"/>
    <n v="0"/>
    <n v="0"/>
    <n v="0"/>
    <n v="1"/>
    <n v="5"/>
    <n v="2"/>
    <n v="0"/>
    <n v="66441"/>
    <n v="0"/>
    <n v="20"/>
    <s v="Production Technician II"/>
    <s v="MA"/>
    <n v="2171"/>
    <d v="1990-09-21T00:00:00"/>
    <s v="F"/>
    <s v="Single"/>
    <s v="US Citizen"/>
    <s v="No"/>
    <s v="White"/>
    <d v="2011-04-04T00:00:00"/>
    <m/>
    <s v="N/A-StillEmployed"/>
    <s v="Active"/>
    <x v="0"/>
    <s v="Michael Albert"/>
    <n v="22"/>
    <s v="CareerBuilder"/>
    <s v="Needs Improvement"/>
    <n v="2"/>
    <n v="3"/>
    <n v="0"/>
    <d v="2019-02-27T00:00:00"/>
    <n v="2"/>
    <n v="3"/>
    <s v="MID"/>
    <s v="MID"/>
    <s v="MID"/>
  </r>
  <r>
    <s v="Bondwell, Betsy"/>
    <s v="Betsy"/>
    <s v="Bondwell"/>
    <n v="3"/>
    <s v="MID"/>
    <s v="Solid Performer"/>
    <x v="1"/>
    <n v="10267"/>
    <n v="0"/>
    <n v="0"/>
    <n v="0"/>
    <n v="5"/>
    <n v="5"/>
    <n v="3"/>
    <n v="0"/>
    <n v="57815"/>
    <n v="1"/>
    <n v="20"/>
    <s v="Production Technician II"/>
    <s v="MA"/>
    <n v="2210"/>
    <d v="1967-01-16T00:00:00"/>
    <s v="F"/>
    <s v="Single"/>
    <s v="US Citizen"/>
    <s v="No"/>
    <s v="White"/>
    <d v="2011-01-10T00:00:00"/>
    <d v="2014-04-04T00:00:00"/>
    <s v="career change"/>
    <s v="Voluntarily Terminated"/>
    <x v="0"/>
    <s v="Elijiah Gray"/>
    <n v="16"/>
    <s v="Google Search"/>
    <s v="Fully Meets"/>
    <n v="4.8"/>
    <n v="5"/>
    <n v="0"/>
    <d v="2014-03-04T00:00:00"/>
    <n v="0"/>
    <n v="5"/>
    <s v="MID"/>
    <s v="MID"/>
    <s v="MID"/>
  </r>
  <r>
    <s v="Booth, Frank"/>
    <s v="Frank"/>
    <s v="Booth"/>
    <n v="2"/>
    <s v="Executive"/>
    <s v="Solid Performer"/>
    <x v="2"/>
    <n v="10199"/>
    <n v="0"/>
    <n v="0"/>
    <n v="1"/>
    <n v="4"/>
    <n v="3"/>
    <n v="3"/>
    <n v="0"/>
    <n v="103613"/>
    <n v="1"/>
    <n v="30"/>
    <s v="Enterprise Architect"/>
    <s v="CT"/>
    <n v="6033"/>
    <d v="1964-07-30T00:00:00"/>
    <s v="M "/>
    <s v="Single"/>
    <s v="US Citizen"/>
    <s v="No"/>
    <s v="Black or African American"/>
    <d v="2014-02-17T00:00:00"/>
    <d v="2016-02-19T00:00:00"/>
    <s v="Learned that he is a gangster"/>
    <s v="Terminated for Cause"/>
    <x v="1"/>
    <s v="Simon Roup"/>
    <n v="4"/>
    <s v="LinkedIn"/>
    <s v="Fully Meets"/>
    <n v="3.5"/>
    <n v="5"/>
    <n v="7"/>
    <d v="2016-01-10T00:00:00"/>
    <n v="0"/>
    <n v="2"/>
    <s v="Executive"/>
    <s v="Executive"/>
    <s v="Executive"/>
  </r>
  <r>
    <s v="Boutwell, Bonalyn"/>
    <s v="Bonalyn"/>
    <s v="Boutwell"/>
    <n v="11"/>
    <s v="Executive"/>
    <s v="Solid Performer"/>
    <x v="0"/>
    <n v="10081"/>
    <n v="1"/>
    <n v="1"/>
    <n v="0"/>
    <n v="1"/>
    <n v="1"/>
    <n v="3"/>
    <n v="1"/>
    <n v="106367"/>
    <n v="0"/>
    <n v="26"/>
    <s v="Sr. Accountant"/>
    <s v="MA"/>
    <n v="2468"/>
    <d v="1987-04-04T00:00:00"/>
    <s v="F"/>
    <s v="Married"/>
    <s v="US Citizen"/>
    <s v="No"/>
    <s v="Black or African American"/>
    <d v="2015-02-16T00:00:00"/>
    <m/>
    <s v="N/A-StillEmployed"/>
    <s v="Active"/>
    <x v="3"/>
    <s v="Brandon R. LeBlanc"/>
    <n v="3"/>
    <s v="Diversity Job Fair"/>
    <s v="Fully Meets"/>
    <n v="5"/>
    <n v="4"/>
    <n v="3"/>
    <d v="2019-02-18T00:00:00"/>
    <n v="0"/>
    <n v="4"/>
    <s v="Executive"/>
    <s v="Executive"/>
    <s v="Executive"/>
  </r>
  <r>
    <s v="Bozzi, Charles"/>
    <s v="Charles"/>
    <s v="Bozzi"/>
    <n v="0"/>
    <s v="HIGH"/>
    <s v="Solid Performer"/>
    <x v="1"/>
    <n v="10175"/>
    <n v="0"/>
    <n v="0"/>
    <n v="1"/>
    <n v="5"/>
    <n v="5"/>
    <n v="3"/>
    <n v="0"/>
    <n v="74312"/>
    <n v="1"/>
    <n v="18"/>
    <s v="Production Manager"/>
    <s v="MA"/>
    <n v="1901"/>
    <d v="1970-03-10T00:00:00"/>
    <s v="M "/>
    <s v="Single"/>
    <s v="US Citizen"/>
    <s v="No"/>
    <s v="Asian"/>
    <d v="2013-09-30T00:00:00"/>
    <d v="2014-08-07T00:00:00"/>
    <s v="retiring"/>
    <s v="Voluntarily Terminated"/>
    <x v="0"/>
    <s v="Janet King"/>
    <n v="2"/>
    <s v="Indeed"/>
    <s v="Fully Meets"/>
    <n v="3.39"/>
    <n v="3"/>
    <n v="0"/>
    <d v="2014-02-20T00:00:00"/>
    <n v="0"/>
    <n v="14"/>
    <s v="HIGH"/>
    <s v="HIGH"/>
    <s v="HIGH"/>
  </r>
  <r>
    <s v="Brill, Donna"/>
    <s v="Donna"/>
    <s v="Brill"/>
    <n v="1"/>
    <s v="MID"/>
    <s v="Solid Performer"/>
    <x v="1"/>
    <n v="10177"/>
    <n v="1"/>
    <n v="1"/>
    <n v="0"/>
    <n v="5"/>
    <n v="5"/>
    <n v="3"/>
    <n v="0"/>
    <n v="53492"/>
    <n v="1"/>
    <n v="19"/>
    <s v="Production Technician I"/>
    <s v="MA"/>
    <n v="1701"/>
    <d v="1990-08-24T00:00:00"/>
    <s v="F"/>
    <s v="Married"/>
    <s v="US Citizen"/>
    <s v="No"/>
    <s v="White"/>
    <d v="2012-04-02T00:00:00"/>
    <d v="2013-06-15T00:00:00"/>
    <s v="Another position"/>
    <s v="Voluntarily Terminated"/>
    <x v="0"/>
    <s v="David Stanley"/>
    <n v="14"/>
    <s v="Google Search"/>
    <s v="Fully Meets"/>
    <n v="3.35"/>
    <n v="4"/>
    <n v="0"/>
    <d v="2013-03-04T00:00:00"/>
    <n v="0"/>
    <n v="6"/>
    <s v="MID"/>
    <s v="MID"/>
    <s v="MID"/>
  </r>
  <r>
    <s v="Brown, Mia"/>
    <s v="Mia"/>
    <s v="Brown"/>
    <n v="17"/>
    <s v="MID"/>
    <s v="Solid Performer"/>
    <x v="0"/>
    <n v="10238"/>
    <n v="1"/>
    <n v="1"/>
    <n v="0"/>
    <n v="1"/>
    <n v="1"/>
    <n v="3"/>
    <n v="1"/>
    <n v="63000"/>
    <n v="0"/>
    <n v="1"/>
    <s v="Accountant I"/>
    <s v="MA"/>
    <n v="1450"/>
    <d v="1987-11-24T00:00:00"/>
    <s v="F"/>
    <s v="Married"/>
    <s v="US Citizen"/>
    <s v="No"/>
    <s v="Black or African American"/>
    <d v="2008-10-27T00:00:00"/>
    <m/>
    <s v="N/A-StillEmployed"/>
    <s v="Active"/>
    <x v="3"/>
    <s v="Brandon R. LeBlanc"/>
    <n v="1"/>
    <s v="Diversity Job Fair"/>
    <s v="Fully Meets"/>
    <n v="4.5"/>
    <n v="2"/>
    <n v="6"/>
    <d v="2019-01-15T00:00:00"/>
    <n v="0"/>
    <n v="14"/>
    <s v="MID"/>
    <s v="MID"/>
    <s v="MID"/>
  </r>
  <r>
    <s v="Buccheri, Joseph  "/>
    <s v="Joseph"/>
    <s v="Buccheri"/>
    <n v="11"/>
    <s v="MID"/>
    <s v="Solid Performer"/>
    <x v="0"/>
    <n v="10184"/>
    <n v="0"/>
    <n v="0"/>
    <n v="1"/>
    <n v="1"/>
    <n v="5"/>
    <n v="3"/>
    <n v="0"/>
    <n v="65288"/>
    <n v="0"/>
    <n v="20"/>
    <s v="Production Technician II"/>
    <s v="MA"/>
    <n v="1013"/>
    <d v="1983-07-28T00:00:00"/>
    <s v="M "/>
    <s v="Single"/>
    <s v="US Citizen"/>
    <s v="No"/>
    <s v="White"/>
    <d v="2014-09-29T00:00:00"/>
    <m/>
    <s v="N/A-StillEmployed"/>
    <s v="Active"/>
    <x v="0"/>
    <s v="Webster Butler"/>
    <m/>
    <s v="Google Search"/>
    <s v="Fully Meets"/>
    <n v="3.19"/>
    <n v="3"/>
    <n v="0"/>
    <d v="2019-02-01T00:00:00"/>
    <n v="0"/>
    <n v="9"/>
    <s v="MID"/>
    <s v="MID"/>
    <s v="MID"/>
  </r>
  <r>
    <s v="Bugali, Josephine "/>
    <s v="Josephine"/>
    <s v="Bugali"/>
    <n v="12"/>
    <s v="MID"/>
    <s v="Solid Performer"/>
    <x v="0"/>
    <n v="10203"/>
    <n v="0"/>
    <n v="3"/>
    <n v="0"/>
    <n v="3"/>
    <n v="5"/>
    <n v="3"/>
    <n v="1"/>
    <n v="64375"/>
    <n v="0"/>
    <n v="19"/>
    <s v="Production Technician I"/>
    <s v="MA"/>
    <n v="2043"/>
    <d v="1969-10-30T00:00:00"/>
    <s v="F"/>
    <s v="Separated"/>
    <s v="US Citizen"/>
    <s v="No"/>
    <s v="Black or African American"/>
    <d v="2013-11-11T00:00:00"/>
    <m/>
    <s v="N/A-StillEmployed"/>
    <s v="Active"/>
    <x v="0"/>
    <s v="Kissy Sullivan"/>
    <n v="20"/>
    <s v="Diversity Job Fair"/>
    <s v="Fully Meets"/>
    <n v="3.5"/>
    <n v="5"/>
    <n v="0"/>
    <d v="2019-01-21T00:00:00"/>
    <n v="0"/>
    <n v="17"/>
    <s v="MID"/>
    <s v="MID"/>
    <s v="MID"/>
  </r>
  <r>
    <s v="Bunbury, Jessica"/>
    <s v="Jessica"/>
    <s v="Bunbury"/>
    <n v="2"/>
    <s v="HIGH"/>
    <s v="Solid Performer"/>
    <x v="1"/>
    <n v="10188"/>
    <n v="1"/>
    <n v="1"/>
    <n v="0"/>
    <n v="5"/>
    <n v="6"/>
    <n v="3"/>
    <n v="0"/>
    <n v="74326"/>
    <n v="1"/>
    <n v="3"/>
    <s v="Area Sales Manager"/>
    <s v="VA"/>
    <n v="21851"/>
    <d v="1964-06-01T00:00:00"/>
    <s v="F"/>
    <s v="Married"/>
    <s v="Eligible NonCitizen"/>
    <s v="No"/>
    <s v="Black or African American"/>
    <d v="2011-08-15T00:00:00"/>
    <d v="2014-08-02T00:00:00"/>
    <s v="Another position"/>
    <s v="Voluntarily Terminated"/>
    <x v="4"/>
    <s v="John Smith"/>
    <n v="17"/>
    <s v="Google Search"/>
    <s v="Fully Meets"/>
    <n v="3.14"/>
    <n v="5"/>
    <n v="0"/>
    <d v="2013-02-10T00:00:00"/>
    <n v="1"/>
    <n v="19"/>
    <s v="HIGH"/>
    <s v="HIGH"/>
    <s v="HIGH"/>
  </r>
  <r>
    <s v="Burke, Joelle"/>
    <s v="Joelle"/>
    <s v="Burke"/>
    <n v="14"/>
    <s v="MID"/>
    <s v="Solid Performer"/>
    <x v="0"/>
    <n v="10107"/>
    <n v="0"/>
    <n v="0"/>
    <n v="0"/>
    <n v="1"/>
    <n v="5"/>
    <n v="3"/>
    <n v="0"/>
    <n v="63763"/>
    <n v="0"/>
    <n v="20"/>
    <s v="Production Technician II"/>
    <s v="MA"/>
    <n v="2148"/>
    <d v="1980-03-02T00:00:00"/>
    <s v="F"/>
    <s v="Single"/>
    <s v="US Citizen"/>
    <s v="No"/>
    <s v="Black or African American"/>
    <d v="2012-03-05T00:00:00"/>
    <m/>
    <s v="N/A-StillEmployed"/>
    <s v="Active"/>
    <x v="0"/>
    <s v="Amy Dunn"/>
    <n v="11"/>
    <s v="Employee Referral"/>
    <s v="Fully Meets"/>
    <n v="4.51"/>
    <n v="4"/>
    <n v="0"/>
    <d v="2019-02-21T00:00:00"/>
    <n v="0"/>
    <n v="3"/>
    <s v="MID"/>
    <s v="MID"/>
    <s v="MID"/>
  </r>
  <r>
    <s v="Burkett, Benjamin "/>
    <s v="Benjamin"/>
    <s v="Burkett"/>
    <n v="14"/>
    <s v="MID"/>
    <s v="Solid Performer"/>
    <x v="0"/>
    <n v="10181"/>
    <n v="1"/>
    <n v="1"/>
    <n v="1"/>
    <n v="1"/>
    <n v="5"/>
    <n v="3"/>
    <n v="0"/>
    <n v="62162"/>
    <n v="0"/>
    <n v="20"/>
    <s v="Production Technician II"/>
    <s v="MA"/>
    <n v="1890"/>
    <d v="1977-08-19T00:00:00"/>
    <s v="M "/>
    <s v="Married"/>
    <s v="US Citizen"/>
    <s v="No"/>
    <s v="White"/>
    <d v="2011-04-04T00:00:00"/>
    <m/>
    <s v="N/A-StillEmployed"/>
    <s v="Active"/>
    <x v="0"/>
    <s v="Ketsia Liebig"/>
    <n v="19"/>
    <s v="Indeed"/>
    <s v="Fully Meets"/>
    <n v="3.25"/>
    <n v="5"/>
    <n v="0"/>
    <d v="2019-01-14T00:00:00"/>
    <n v="0"/>
    <n v="15"/>
    <s v="MID"/>
    <s v="MID"/>
    <s v="MID"/>
  </r>
  <r>
    <s v="Cady, Max "/>
    <s v="Max"/>
    <s v="Cady"/>
    <n v="14"/>
    <s v="HIGH"/>
    <s v="Solid Performer"/>
    <x v="0"/>
    <n v="10150"/>
    <n v="0"/>
    <n v="0"/>
    <n v="1"/>
    <n v="1"/>
    <n v="4"/>
    <n v="3"/>
    <n v="0"/>
    <n v="77692"/>
    <n v="0"/>
    <n v="25"/>
    <s v="Software Engineering Manager"/>
    <s v="MA"/>
    <n v="2184"/>
    <d v="1966-11-22T00:00:00"/>
    <s v="M "/>
    <s v="Single"/>
    <s v="US Citizen"/>
    <s v="No"/>
    <s v="White"/>
    <d v="2011-08-15T00:00:00"/>
    <m/>
    <s v="N/A-StillEmployed"/>
    <s v="Active"/>
    <x v="2"/>
    <s v="Jennifer Zamora"/>
    <n v="5"/>
    <s v="Google Search"/>
    <s v="Fully Meets"/>
    <n v="3.84"/>
    <n v="3"/>
    <n v="5"/>
    <d v="2019-01-21T00:00:00"/>
    <n v="0"/>
    <n v="4"/>
    <s v="HIGH"/>
    <s v="HIGH"/>
    <s v="HIGH"/>
  </r>
  <r>
    <s v="Candie, Calvin"/>
    <s v="Calvin"/>
    <s v="Candie"/>
    <n v="10"/>
    <s v="HIGH"/>
    <s v="Top Performer"/>
    <x v="0"/>
    <n v="10001"/>
    <n v="0"/>
    <n v="0"/>
    <n v="1"/>
    <n v="1"/>
    <n v="5"/>
    <n v="4"/>
    <n v="0"/>
    <n v="72640"/>
    <n v="0"/>
    <n v="18"/>
    <s v="Production Manager"/>
    <s v="MA"/>
    <n v="2169"/>
    <d v="1983-08-09T00:00:00"/>
    <s v="M "/>
    <s v="Single"/>
    <s v="US Citizen"/>
    <s v="No"/>
    <s v="White"/>
    <d v="2016-01-28T00:00:00"/>
    <m/>
    <s v="N/A-StillEmployed"/>
    <s v="Active"/>
    <x v="0"/>
    <s v="Janet King"/>
    <n v="2"/>
    <s v="Indeed"/>
    <s v="Exceeds"/>
    <n v="5"/>
    <n v="3"/>
    <n v="0"/>
    <d v="2019-02-22T00:00:00"/>
    <n v="0"/>
    <n v="14"/>
    <s v="HIGH"/>
    <s v="HIGH"/>
    <s v="HIGH"/>
  </r>
  <r>
    <s v="Carabbio, Judith"/>
    <s v="Judith"/>
    <s v="Carabbio"/>
    <n v="12"/>
    <s v="HIGH"/>
    <s v="Solid Performer"/>
    <x v="0"/>
    <n v="10085"/>
    <n v="0"/>
    <n v="0"/>
    <n v="0"/>
    <n v="1"/>
    <n v="4"/>
    <n v="3"/>
    <n v="0"/>
    <n v="93396"/>
    <n v="0"/>
    <n v="24"/>
    <s v="Software Engineer"/>
    <s v="MA"/>
    <n v="2132"/>
    <d v="1987-04-05T00:00:00"/>
    <s v="F"/>
    <s v="Single"/>
    <s v="US Citizen"/>
    <s v="No"/>
    <s v="White"/>
    <d v="2013-11-11T00:00:00"/>
    <m/>
    <s v="N/A-StillEmployed"/>
    <s v="Active"/>
    <x v="2"/>
    <s v="Alex Sweetwater"/>
    <n v="10"/>
    <s v="Indeed"/>
    <s v="Fully Meets"/>
    <n v="4.96"/>
    <n v="4"/>
    <n v="6"/>
    <d v="2019-01-30T00:00:00"/>
    <n v="0"/>
    <n v="3"/>
    <s v="HIGH"/>
    <s v="HIGH"/>
    <s v="HIGH"/>
  </r>
  <r>
    <s v="Carey, Michael  "/>
    <s v="Michael"/>
    <s v="Carey"/>
    <n v="11"/>
    <s v="MID"/>
    <s v="Solid Performer"/>
    <x v="0"/>
    <n v="10115"/>
    <n v="0"/>
    <n v="0"/>
    <n v="1"/>
    <n v="1"/>
    <n v="5"/>
    <n v="3"/>
    <n v="0"/>
    <n v="52846"/>
    <n v="0"/>
    <n v="19"/>
    <s v="Production Technician I"/>
    <s v="MA"/>
    <n v="1701"/>
    <d v="1983-02-02T00:00:00"/>
    <s v="M "/>
    <s v="Single"/>
    <s v="US Citizen"/>
    <s v="No"/>
    <s v="Black or African American"/>
    <d v="2014-03-31T00:00:00"/>
    <m/>
    <s v="N/A-StillEmployed"/>
    <s v="Active"/>
    <x v="0"/>
    <s v="Kelley Spirea"/>
    <n v="18"/>
    <s v="LinkedIn"/>
    <s v="Fully Meets"/>
    <n v="4.43"/>
    <n v="3"/>
    <n v="0"/>
    <d v="2019-02-01T00:00:00"/>
    <n v="0"/>
    <n v="14"/>
    <s v="MID"/>
    <s v="MID"/>
    <s v="MID"/>
  </r>
  <r>
    <s v="Carr, Claudia  N"/>
    <s v="Claudia N"/>
    <s v="Carr"/>
    <n v="9"/>
    <s v="Executive"/>
    <s v="Solid Performer"/>
    <x v="0"/>
    <n v="10082"/>
    <n v="0"/>
    <n v="0"/>
    <n v="0"/>
    <n v="2"/>
    <n v="3"/>
    <n v="3"/>
    <n v="0"/>
    <n v="100031"/>
    <n v="0"/>
    <n v="27"/>
    <s v="Sr. DBA"/>
    <s v="MA"/>
    <n v="1886"/>
    <d v="1986-06-06T00:00:00"/>
    <s v="F"/>
    <s v="Single"/>
    <s v="US Citizen"/>
    <s v="No"/>
    <s v="Black or African American"/>
    <d v="2016-06-30T00:00:00"/>
    <m/>
    <s v="N/A-StillEmployed"/>
    <s v="Active"/>
    <x v="1"/>
    <s v="Simon Roup"/>
    <n v="4"/>
    <s v="LinkedIn"/>
    <s v="Fully Meets"/>
    <n v="5"/>
    <n v="5"/>
    <n v="6"/>
    <d v="2019-02-18T00:00:00"/>
    <n v="0"/>
    <n v="7"/>
    <s v="Executive"/>
    <s v="Executive"/>
    <s v="Executive"/>
  </r>
  <r>
    <s v="Carter, Michelle "/>
    <s v="Michelle"/>
    <s v="Carter"/>
    <n v="11"/>
    <s v="HIGH"/>
    <s v="Solid Performer"/>
    <x v="0"/>
    <n v="10040"/>
    <n v="0"/>
    <n v="0"/>
    <n v="0"/>
    <n v="1"/>
    <n v="6"/>
    <n v="3"/>
    <n v="0"/>
    <n v="71860"/>
    <n v="0"/>
    <n v="3"/>
    <s v="Area Sales Manager"/>
    <s v="VT"/>
    <n v="5664"/>
    <d v="1963-05-15T00:00:00"/>
    <s v="F"/>
    <s v="Single"/>
    <s v="US Citizen"/>
    <s v="No"/>
    <s v="White"/>
    <d v="2014-08-18T00:00:00"/>
    <m/>
    <s v="N/A-StillEmployed"/>
    <s v="Active"/>
    <x v="4"/>
    <s v="John Smith"/>
    <n v="17"/>
    <s v="Indeed"/>
    <s v="Fully Meets"/>
    <n v="5"/>
    <n v="5"/>
    <n v="0"/>
    <d v="2019-01-21T00:00:00"/>
    <n v="0"/>
    <n v="7"/>
    <s v="HIGH"/>
    <s v="HIGH"/>
    <s v="HIGH"/>
  </r>
  <r>
    <s v="Chace, Beatrice "/>
    <s v="Beatrice"/>
    <s v="Chace"/>
    <n v="11"/>
    <s v="MID"/>
    <s v="Solid Performer"/>
    <x v="0"/>
    <n v="10067"/>
    <n v="0"/>
    <n v="0"/>
    <n v="0"/>
    <n v="1"/>
    <n v="5"/>
    <n v="3"/>
    <n v="0"/>
    <n v="61656"/>
    <n v="0"/>
    <n v="19"/>
    <s v="Production Technician I"/>
    <s v="MA"/>
    <n v="2763"/>
    <d v="1951-01-02T00:00:00"/>
    <s v="F"/>
    <s v="Single"/>
    <s v="US Citizen"/>
    <s v="No"/>
    <s v="White"/>
    <d v="2014-09-29T00:00:00"/>
    <m/>
    <s v="N/A-StillEmployed"/>
    <s v="Active"/>
    <x v="0"/>
    <s v="Michael Albert"/>
    <n v="22"/>
    <s v="Google Search"/>
    <s v="Fully Meets"/>
    <n v="5"/>
    <n v="4"/>
    <n v="0"/>
    <d v="2019-02-12T00:00:00"/>
    <n v="0"/>
    <n v="11"/>
    <s v="MID"/>
    <s v="MID"/>
    <s v="MID"/>
  </r>
  <r>
    <s v="Champaigne, Brian"/>
    <s v="Brian"/>
    <s v="Champaigne"/>
    <n v="9"/>
    <s v="Executive"/>
    <s v="Solid Performer"/>
    <x v="0"/>
    <n v="10108"/>
    <n v="1"/>
    <n v="1"/>
    <n v="1"/>
    <n v="1"/>
    <n v="3"/>
    <n v="3"/>
    <n v="0"/>
    <n v="110929"/>
    <n v="0"/>
    <n v="5"/>
    <s v="BI Director"/>
    <s v="MA"/>
    <n v="2045"/>
    <d v="1972-02-09T00:00:00"/>
    <s v="M "/>
    <s v="Married"/>
    <s v="US Citizen"/>
    <s v="No"/>
    <s v="White"/>
    <d v="2016-09-06T00:00:00"/>
    <m/>
    <s v="N/A-StillEmployed"/>
    <s v="Active"/>
    <x v="1"/>
    <s v="Jennifer Zamora"/>
    <n v="5"/>
    <s v="Indeed"/>
    <s v="Fully Meets"/>
    <n v="4.5"/>
    <n v="5"/>
    <n v="7"/>
    <d v="2019-01-15T00:00:00"/>
    <n v="0"/>
    <n v="8"/>
    <s v="Executive"/>
    <s v="Executive"/>
    <s v="Executive"/>
  </r>
  <r>
    <s v="Chan, Lin"/>
    <s v="Lin"/>
    <s v="Chan"/>
    <n v="11"/>
    <s v="MID"/>
    <s v="Solid Performer"/>
    <x v="0"/>
    <n v="10210"/>
    <n v="0"/>
    <n v="0"/>
    <n v="0"/>
    <n v="1"/>
    <n v="5"/>
    <n v="3"/>
    <n v="0"/>
    <n v="54237"/>
    <n v="0"/>
    <n v="19"/>
    <s v="Production Technician I"/>
    <s v="MA"/>
    <n v="2170"/>
    <d v="1979-02-12T00:00:00"/>
    <s v="F"/>
    <s v="Single"/>
    <s v="US Citizen"/>
    <s v="No"/>
    <s v="White"/>
    <d v="2014-05-12T00:00:00"/>
    <m/>
    <s v="N/A-StillEmployed"/>
    <s v="Active"/>
    <x v="0"/>
    <s v="Elijiah Gray"/>
    <n v="16"/>
    <s v="Indeed"/>
    <s v="Fully Meets"/>
    <n v="3.3"/>
    <n v="4"/>
    <n v="0"/>
    <d v="2019-02-19T00:00:00"/>
    <n v="0"/>
    <n v="11"/>
    <s v="MID"/>
    <s v="MID"/>
    <s v="MID"/>
  </r>
  <r>
    <s v="Chang, Donovan  E"/>
    <s v="Donovan E"/>
    <s v="Chang"/>
    <n v="12"/>
    <s v="MID"/>
    <s v="Solid Performer"/>
    <x v="0"/>
    <n v="10154"/>
    <n v="0"/>
    <n v="0"/>
    <n v="1"/>
    <n v="1"/>
    <n v="5"/>
    <n v="3"/>
    <n v="0"/>
    <n v="60380"/>
    <n v="0"/>
    <n v="19"/>
    <s v="Production Technician I"/>
    <s v="MA"/>
    <n v="1845"/>
    <d v="1983-08-24T00:00:00"/>
    <s v="M "/>
    <s v="Single"/>
    <s v="US Citizen"/>
    <s v="No"/>
    <s v="White"/>
    <d v="2013-07-08T00:00:00"/>
    <m/>
    <s v="N/A-StillEmployed"/>
    <s v="Active"/>
    <x v="0"/>
    <s v="Webster Butler"/>
    <m/>
    <s v="LinkedIn"/>
    <s v="Fully Meets"/>
    <n v="3.8"/>
    <n v="5"/>
    <n v="0"/>
    <d v="2019-01-14T00:00:00"/>
    <n v="0"/>
    <n v="4"/>
    <s v="MID"/>
    <s v="MID"/>
    <s v="MID"/>
  </r>
  <r>
    <s v="Chigurh, Anton"/>
    <s v="Anton"/>
    <s v="Chigurh"/>
    <n v="13"/>
    <s v="MID"/>
    <s v="Solid Performer"/>
    <x v="0"/>
    <n v="10200"/>
    <n v="0"/>
    <n v="0"/>
    <n v="1"/>
    <n v="1"/>
    <n v="6"/>
    <n v="3"/>
    <n v="0"/>
    <n v="66808"/>
    <n v="0"/>
    <n v="3"/>
    <s v="Area Sales Manager"/>
    <s v="TX"/>
    <n v="78207"/>
    <d v="1970-06-11T00:00:00"/>
    <s v="M "/>
    <s v="Single"/>
    <s v="Eligible NonCitizen"/>
    <s v="No"/>
    <s v="Black or African American"/>
    <d v="2012-05-14T00:00:00"/>
    <m/>
    <s v="N/A-StillEmployed"/>
    <s v="Active"/>
    <x v="4"/>
    <s v="Lynn Daneault"/>
    <n v="21"/>
    <s v="Employee Referral"/>
    <s v="Fully Meets"/>
    <n v="3"/>
    <n v="5"/>
    <n v="0"/>
    <d v="2019-01-19T00:00:00"/>
    <n v="0"/>
    <n v="17"/>
    <s v="MID"/>
    <s v="MID"/>
    <s v="MID"/>
  </r>
  <r>
    <s v="Chivukula, Enola"/>
    <s v="Enola"/>
    <s v="Chivukula"/>
    <n v="4"/>
    <s v="MID"/>
    <s v="Solid Performer"/>
    <x v="1"/>
    <n v="10240"/>
    <n v="0"/>
    <n v="0"/>
    <n v="0"/>
    <n v="5"/>
    <n v="5"/>
    <n v="3"/>
    <n v="0"/>
    <n v="64786"/>
    <n v="1"/>
    <n v="19"/>
    <s v="Production Technician I"/>
    <s v="MA"/>
    <n v="1775"/>
    <d v="1983-08-27T00:00:00"/>
    <s v="F"/>
    <s v="Single"/>
    <s v="US Citizen"/>
    <s v="No"/>
    <s v="White"/>
    <d v="2011-06-27T00:00:00"/>
    <d v="2015-11-15T00:00:00"/>
    <s v="relocation out of area"/>
    <s v="Voluntarily Terminated"/>
    <x v="0"/>
    <s v="Amy Dunn"/>
    <n v="11"/>
    <s v="Indeed"/>
    <s v="Fully Meets"/>
    <n v="4.3"/>
    <n v="4"/>
    <n v="0"/>
    <d v="2015-03-10T00:00:00"/>
    <n v="0"/>
    <n v="3"/>
    <s v="MID"/>
    <s v="MID"/>
    <s v="MID"/>
  </r>
  <r>
    <s v="Cierpiszewski, Caroline  "/>
    <s v="Caroline"/>
    <s v="Cierpiszewski"/>
    <n v="14"/>
    <s v="MID"/>
    <s v="Solid Performer"/>
    <x v="0"/>
    <n v="10168"/>
    <n v="0"/>
    <n v="0"/>
    <n v="0"/>
    <n v="1"/>
    <n v="5"/>
    <n v="3"/>
    <n v="0"/>
    <n v="64816"/>
    <n v="0"/>
    <n v="19"/>
    <s v="Production Technician I"/>
    <s v="MA"/>
    <n v="2044"/>
    <d v="1988-05-31T00:00:00"/>
    <s v="F"/>
    <s v="Single"/>
    <s v="Non-Citizen"/>
    <s v="No"/>
    <s v="Black or African American"/>
    <d v="2011-10-03T00:00:00"/>
    <m/>
    <s v="N/A-StillEmployed"/>
    <s v="Active"/>
    <x v="0"/>
    <s v="Ketsia Liebig"/>
    <n v="19"/>
    <s v="Indeed"/>
    <s v="Fully Meets"/>
    <n v="3.58"/>
    <n v="5"/>
    <n v="0"/>
    <d v="2019-01-30T00:00:00"/>
    <n v="0"/>
    <n v="3"/>
    <s v="MID"/>
    <s v="MID"/>
    <s v="MID"/>
  </r>
  <r>
    <s v="Clayton, Rick"/>
    <s v="Rick"/>
    <s v="Clayton"/>
    <n v="13"/>
    <s v="MID"/>
    <s v="Solid Performer"/>
    <x v="0"/>
    <n v="10220"/>
    <n v="0"/>
    <n v="0"/>
    <n v="1"/>
    <n v="1"/>
    <n v="3"/>
    <n v="3"/>
    <n v="0"/>
    <n v="68678"/>
    <n v="0"/>
    <n v="14"/>
    <s v="IT Support"/>
    <s v="MA"/>
    <n v="2170"/>
    <d v="1985-09-05T00:00:00"/>
    <s v="M "/>
    <s v="Single"/>
    <s v="US Citizen"/>
    <s v="No"/>
    <s v="White"/>
    <d v="2012-09-05T00:00:00"/>
    <m/>
    <s v="N/A-StillEmployed"/>
    <s v="Active"/>
    <x v="1"/>
    <s v="Eric Dougall"/>
    <n v="6"/>
    <s v="Indeed"/>
    <s v="Fully Meets"/>
    <n v="4.7"/>
    <n v="3"/>
    <n v="6"/>
    <d v="2019-02-27T00:00:00"/>
    <n v="0"/>
    <n v="2"/>
    <s v="MID"/>
    <s v="MID"/>
    <s v="MID"/>
  </r>
  <r>
    <s v="Cloninger, Jennifer"/>
    <s v="Jennifer"/>
    <s v="Cloninger"/>
    <n v="1"/>
    <s v="MID"/>
    <s v="Solid Performer"/>
    <x v="1"/>
    <n v="10275"/>
    <n v="1"/>
    <n v="1"/>
    <n v="0"/>
    <n v="5"/>
    <n v="5"/>
    <n v="3"/>
    <n v="0"/>
    <n v="64066"/>
    <n v="1"/>
    <n v="20"/>
    <s v="Production Technician II"/>
    <s v="MA"/>
    <n v="1752"/>
    <d v="1981-08-31T00:00:00"/>
    <s v="F"/>
    <s v="Married"/>
    <s v="US Citizen"/>
    <s v="No"/>
    <s v="White"/>
    <d v="2011-05-16T00:00:00"/>
    <d v="2013-01-07T00:00:00"/>
    <s v="unhappy"/>
    <s v="Voluntarily Terminated"/>
    <x v="0"/>
    <s v="Brannon Miller"/>
    <n v="12"/>
    <s v="Google Search"/>
    <s v="Fully Meets"/>
    <n v="4.2"/>
    <n v="5"/>
    <n v="0"/>
    <d v="2012-05-03T00:00:00"/>
    <n v="0"/>
    <n v="9"/>
    <s v="MID"/>
    <s v="MID"/>
    <s v="MID"/>
  </r>
  <r>
    <s v="Close, Phil"/>
    <s v="Phil"/>
    <s v="Close"/>
    <n v="1"/>
    <s v="MID"/>
    <s v="Solid Performer"/>
    <x v="1"/>
    <n v="10269"/>
    <n v="1"/>
    <n v="1"/>
    <n v="1"/>
    <n v="5"/>
    <n v="5"/>
    <n v="3"/>
    <n v="0"/>
    <n v="59369"/>
    <n v="1"/>
    <n v="20"/>
    <s v="Production Technician II"/>
    <s v="MA"/>
    <n v="2169"/>
    <d v="1978-11-25T00:00:00"/>
    <s v="M "/>
    <s v="Married"/>
    <s v="US Citizen"/>
    <s v="No"/>
    <s v="White"/>
    <d v="2010-08-30T00:00:00"/>
    <d v="2011-09-26T00:00:00"/>
    <s v="career change"/>
    <s v="Voluntarily Terminated"/>
    <x v="0"/>
    <s v="David Stanley"/>
    <n v="14"/>
    <s v="Indeed"/>
    <s v="Fully Meets"/>
    <n v="4.2"/>
    <n v="4"/>
    <n v="0"/>
    <d v="2011-05-04T00:00:00"/>
    <n v="0"/>
    <n v="6"/>
    <s v="MID"/>
    <s v="MID"/>
    <s v="MID"/>
  </r>
  <r>
    <s v="Clukey, Elijian"/>
    <s v="Elijian"/>
    <s v="Clukey"/>
    <n v="9"/>
    <s v="MID"/>
    <s v="Top Performer"/>
    <x v="0"/>
    <n v="10029"/>
    <n v="1"/>
    <n v="1"/>
    <n v="1"/>
    <n v="2"/>
    <n v="5"/>
    <n v="4"/>
    <n v="0"/>
    <n v="50373"/>
    <n v="0"/>
    <n v="19"/>
    <s v="Production Technician I"/>
    <s v="MA"/>
    <n v="2134"/>
    <d v="1980-08-26T00:00:00"/>
    <s v="M "/>
    <s v="Married"/>
    <s v="US Citizen"/>
    <s v="No"/>
    <s v="White"/>
    <d v="2016-07-06T00:00:00"/>
    <m/>
    <s v="N/A-StillEmployed"/>
    <s v="Active"/>
    <x v="0"/>
    <s v="Brannon Miller"/>
    <n v="12"/>
    <s v="Employee Referral"/>
    <s v="Exceeds"/>
    <n v="4.0999999999999996"/>
    <n v="4"/>
    <n v="0"/>
    <d v="2019-02-28T00:00:00"/>
    <n v="0"/>
    <n v="5"/>
    <s v="MID"/>
    <s v="MID"/>
    <s v="MID"/>
  </r>
  <r>
    <s v="Cockel, James"/>
    <s v="James"/>
    <s v="Cockel"/>
    <n v="12"/>
    <s v="MID"/>
    <s v="Solid Performer"/>
    <x v="0"/>
    <n v="10261"/>
    <n v="0"/>
    <n v="0"/>
    <n v="1"/>
    <n v="1"/>
    <n v="5"/>
    <n v="3"/>
    <n v="0"/>
    <n v="63108"/>
    <n v="0"/>
    <n v="19"/>
    <s v="Production Technician I"/>
    <s v="MA"/>
    <n v="2452"/>
    <d v="1977-09-08T00:00:00"/>
    <s v="M "/>
    <s v="Single"/>
    <s v="US Citizen"/>
    <s v="No"/>
    <s v="White"/>
    <d v="2013-07-08T00:00:00"/>
    <m/>
    <s v="N/A-StillEmployed"/>
    <s v="Active"/>
    <x v="0"/>
    <s v="David Stanley"/>
    <n v="14"/>
    <s v="Employee Referral"/>
    <s v="Fully Meets"/>
    <n v="4.4000000000000004"/>
    <n v="5"/>
    <n v="0"/>
    <d v="2019-01-14T00:00:00"/>
    <n v="0"/>
    <n v="3"/>
    <s v="MID"/>
    <s v="MID"/>
    <s v="MID"/>
  </r>
  <r>
    <s v="Cole, Spencer"/>
    <s v="Spencer"/>
    <s v="Cole"/>
    <n v="5"/>
    <s v="MID"/>
    <s v="Underperformer"/>
    <x v="2"/>
    <n v="10292"/>
    <n v="0"/>
    <n v="0"/>
    <n v="1"/>
    <n v="4"/>
    <n v="5"/>
    <n v="2"/>
    <n v="0"/>
    <n v="59144"/>
    <n v="1"/>
    <n v="19"/>
    <s v="Production Technician I"/>
    <s v="MA"/>
    <n v="1880"/>
    <d v="1979-08-12T00:00:00"/>
    <s v="M "/>
    <s v="Single"/>
    <s v="US Citizen"/>
    <s v="No"/>
    <s v="Black or African American"/>
    <d v="2011-07-11T00:00:00"/>
    <d v="2016-09-23T00:00:00"/>
    <s v="performance"/>
    <s v="Terminated for Cause"/>
    <x v="0"/>
    <s v="Kissy Sullivan"/>
    <n v="20"/>
    <s v="LinkedIn"/>
    <s v="Needs Improvement"/>
    <n v="2"/>
    <n v="3"/>
    <n v="0"/>
    <d v="2016-05-01T00:00:00"/>
    <n v="5"/>
    <n v="16"/>
    <s v="MID"/>
    <s v="MID"/>
    <s v="MID"/>
  </r>
  <r>
    <s v="Corleone, Michael"/>
    <s v="Michael"/>
    <s v="Corleone"/>
    <n v="15"/>
    <s v="MID"/>
    <s v="Underperformer"/>
    <x v="0"/>
    <n v="10282"/>
    <n v="0"/>
    <n v="2"/>
    <n v="1"/>
    <n v="1"/>
    <n v="5"/>
    <n v="2"/>
    <n v="0"/>
    <n v="68051"/>
    <n v="0"/>
    <n v="18"/>
    <s v="Production Manager"/>
    <s v="MA"/>
    <n v="1803"/>
    <d v="1975-12-17T00:00:00"/>
    <s v="M "/>
    <s v="Divorced"/>
    <s v="US Citizen"/>
    <s v="No"/>
    <s v="White"/>
    <d v="2010-07-20T00:00:00"/>
    <m/>
    <s v="N/A-StillEmployed"/>
    <s v="Active"/>
    <x v="0"/>
    <s v="Janet King"/>
    <n v="2"/>
    <s v="CareerBuilder"/>
    <s v="Needs Improvement"/>
    <n v="4.13"/>
    <n v="2"/>
    <n v="0"/>
    <d v="2019-01-14T00:00:00"/>
    <n v="3"/>
    <n v="3"/>
    <s v="MID"/>
    <s v="MID"/>
    <s v="MID"/>
  </r>
  <r>
    <s v="Corleone, Vito"/>
    <s v="Vito"/>
    <s v="Corleone"/>
    <n v="17"/>
    <s v="Executive"/>
    <s v="Top Performer"/>
    <x v="0"/>
    <n v="10019"/>
    <n v="0"/>
    <n v="0"/>
    <n v="1"/>
    <n v="1"/>
    <n v="5"/>
    <n v="4"/>
    <n v="0"/>
    <n v="170500"/>
    <n v="0"/>
    <n v="10"/>
    <s v="Director of Operations"/>
    <s v="MA"/>
    <n v="2030"/>
    <d v="1983-03-19T00:00:00"/>
    <s v="M "/>
    <s v="Single"/>
    <s v="US Citizen"/>
    <s v="No"/>
    <s v="Black or African American"/>
    <d v="2009-01-05T00:00:00"/>
    <m/>
    <s v="N/A-StillEmployed"/>
    <s v="Active"/>
    <x v="0"/>
    <s v="Janet King"/>
    <n v="2"/>
    <s v="Indeed"/>
    <s v="Exceeds"/>
    <n v="3.7"/>
    <n v="5"/>
    <n v="0"/>
    <d v="2019-02-04T00:00:00"/>
    <n v="0"/>
    <n v="15"/>
    <s v="Executive"/>
    <s v="Executive"/>
    <s v="Executive"/>
  </r>
  <r>
    <s v="Cornett, Lisa "/>
    <s v="Lisa"/>
    <s v="Cornett"/>
    <n v="11"/>
    <s v="MID"/>
    <s v="Solid Performer"/>
    <x v="0"/>
    <n v="10094"/>
    <n v="1"/>
    <n v="1"/>
    <n v="0"/>
    <n v="1"/>
    <n v="5"/>
    <n v="3"/>
    <n v="0"/>
    <n v="63381"/>
    <n v="0"/>
    <n v="19"/>
    <s v="Production Technician I"/>
    <s v="MA"/>
    <n v="2189"/>
    <d v="1977-03-31T00:00:00"/>
    <s v="F"/>
    <s v="Married"/>
    <s v="US Citizen"/>
    <s v="Yes"/>
    <s v="White"/>
    <d v="2015-01-05T00:00:00"/>
    <m/>
    <s v="N/A-StillEmployed"/>
    <s v="Active"/>
    <x v="0"/>
    <s v="Kelley Spirea"/>
    <n v="18"/>
    <s v="Indeed"/>
    <s v="Fully Meets"/>
    <n v="4.7300000000000004"/>
    <n v="5"/>
    <n v="0"/>
    <d v="2019-02-14T00:00:00"/>
    <n v="0"/>
    <n v="6"/>
    <s v="MID"/>
    <s v="MID"/>
    <s v="MID"/>
  </r>
  <r>
    <s v="Costello, Frank"/>
    <s v="Frank"/>
    <s v="Costello"/>
    <n v="11"/>
    <s v="HIGH"/>
    <s v="Solid Performer"/>
    <x v="0"/>
    <n v="10193"/>
    <n v="1"/>
    <n v="1"/>
    <n v="1"/>
    <n v="1"/>
    <n v="3"/>
    <n v="3"/>
    <n v="0"/>
    <n v="83552"/>
    <n v="0"/>
    <n v="9"/>
    <s v="Data Analyst"/>
    <s v="MA"/>
    <n v="1810"/>
    <d v="1986-08-26T00:00:00"/>
    <s v="M "/>
    <s v="Married"/>
    <s v="US Citizen"/>
    <s v="No"/>
    <s v="White"/>
    <d v="2015-03-30T00:00:00"/>
    <m/>
    <s v="N/A-StillEmployed"/>
    <s v="Active"/>
    <x v="1"/>
    <s v="Simon Roup"/>
    <n v="4"/>
    <s v="Indeed"/>
    <s v="Fully Meets"/>
    <n v="3.04"/>
    <n v="3"/>
    <n v="6"/>
    <d v="2019-01-22T00:00:00"/>
    <n v="0"/>
    <n v="2"/>
    <s v="HIGH"/>
    <s v="HIGH"/>
    <s v="HIGH"/>
  </r>
  <r>
    <s v="Crimmings,   Jean"/>
    <s v="Jean"/>
    <s v="Crimmings"/>
    <n v="9"/>
    <s v="MID"/>
    <s v="Solid Performer"/>
    <x v="0"/>
    <n v="10132"/>
    <n v="0"/>
    <n v="0"/>
    <n v="0"/>
    <n v="2"/>
    <n v="5"/>
    <n v="3"/>
    <n v="0"/>
    <n v="56149"/>
    <n v="0"/>
    <n v="19"/>
    <s v="Production Technician I"/>
    <s v="MA"/>
    <n v="1821"/>
    <d v="1987-04-10T00:00:00"/>
    <s v="F"/>
    <s v="Single"/>
    <s v="US Citizen"/>
    <s v="No"/>
    <s v="White"/>
    <d v="2016-07-06T00:00:00"/>
    <m/>
    <s v="N/A-StillEmployed"/>
    <s v="Active"/>
    <x v="0"/>
    <s v="Michael Albert"/>
    <n v="22"/>
    <s v="LinkedIn"/>
    <s v="Fully Meets"/>
    <n v="4.12"/>
    <n v="5"/>
    <n v="0"/>
    <d v="2019-01-28T00:00:00"/>
    <n v="0"/>
    <n v="15"/>
    <s v="MID"/>
    <s v="MID"/>
    <s v="MID"/>
  </r>
  <r>
    <s v="Cross, Noah"/>
    <s v="Noah"/>
    <s v="Cross"/>
    <n v="11"/>
    <s v="HIGH"/>
    <s v="Solid Performer"/>
    <x v="0"/>
    <n v="10083"/>
    <n v="0"/>
    <n v="0"/>
    <n v="1"/>
    <n v="1"/>
    <n v="3"/>
    <n v="3"/>
    <n v="0"/>
    <n v="92329"/>
    <n v="0"/>
    <n v="28"/>
    <s v="Sr. Network Engineer"/>
    <s v="CT"/>
    <n v="6278"/>
    <d v="1965-09-09T00:00:00"/>
    <s v="M "/>
    <s v="Single"/>
    <s v="US Citizen"/>
    <s v="No"/>
    <s v="White"/>
    <d v="2014-11-10T00:00:00"/>
    <m/>
    <s v="N/A-StillEmployed"/>
    <s v="Active"/>
    <x v="1"/>
    <s v="Peter Monroe"/>
    <n v="7"/>
    <s v="Employee Referral"/>
    <s v="Fully Meets"/>
    <n v="5"/>
    <n v="3"/>
    <n v="4"/>
    <d v="2019-01-02T00:00:00"/>
    <n v="0"/>
    <n v="5"/>
    <s v="HIGH"/>
    <s v="HIGH"/>
    <s v="HIGH"/>
  </r>
  <r>
    <s v="Daneault, Lynn"/>
    <s v="Lynn"/>
    <s v="Daneault"/>
    <n v="11"/>
    <s v="MID"/>
    <s v="Solid Performer"/>
    <x v="0"/>
    <n v="10099"/>
    <n v="0"/>
    <n v="0"/>
    <n v="0"/>
    <n v="1"/>
    <n v="6"/>
    <n v="3"/>
    <n v="0"/>
    <n v="65729"/>
    <n v="0"/>
    <n v="21"/>
    <s v="Sales Manager"/>
    <s v="VT"/>
    <n v="5473"/>
    <d v="1990-04-19T00:00:00"/>
    <s v="F"/>
    <s v="Single"/>
    <s v="US Citizen"/>
    <s v="No"/>
    <s v="White"/>
    <d v="2014-05-05T00:00:00"/>
    <m/>
    <s v="N/A-StillEmployed"/>
    <s v="Active"/>
    <x v="4"/>
    <s v="Debra Houlihan"/>
    <n v="15"/>
    <s v="Indeed"/>
    <s v="Fully Meets"/>
    <n v="4.62"/>
    <n v="4"/>
    <n v="0"/>
    <d v="2019-01-24T00:00:00"/>
    <n v="0"/>
    <n v="8"/>
    <s v="MID"/>
    <s v="MID"/>
    <s v="MID"/>
  </r>
  <r>
    <s v="Daniele, Ann  "/>
    <s v="Ann"/>
    <s v="Daniele"/>
    <n v="11"/>
    <s v="HIGH"/>
    <s v="Solid Performer"/>
    <x v="0"/>
    <n v="10212"/>
    <n v="1"/>
    <n v="1"/>
    <n v="0"/>
    <n v="3"/>
    <n v="3"/>
    <n v="3"/>
    <n v="0"/>
    <n v="85028"/>
    <n v="0"/>
    <n v="28"/>
    <s v="Sr. Network Engineer"/>
    <s v="CT"/>
    <n v="6033"/>
    <d v="1952-01-18T00:00:00"/>
    <s v="F"/>
    <s v="Married"/>
    <s v="US Citizen"/>
    <s v="No"/>
    <s v="White"/>
    <d v="2014-11-10T00:00:00"/>
    <m/>
    <s v="N/A-StillEmployed"/>
    <s v="Active"/>
    <x v="1"/>
    <s v="Peter Monroe"/>
    <n v="7"/>
    <s v="LinkedIn"/>
    <s v="Fully Meets"/>
    <n v="3.1"/>
    <n v="5"/>
    <n v="8"/>
    <d v="2019-02-12T00:00:00"/>
    <n v="0"/>
    <n v="19"/>
    <s v="HIGH"/>
    <s v="HIGH"/>
    <s v="HIGH"/>
  </r>
  <r>
    <s v="Darson, Jene'ya "/>
    <s v="Jene'ya"/>
    <s v="Darson"/>
    <n v="13"/>
    <s v="MID"/>
    <s v="Solid Performer"/>
    <x v="0"/>
    <n v="10056"/>
    <n v="1"/>
    <n v="1"/>
    <n v="0"/>
    <n v="1"/>
    <n v="5"/>
    <n v="3"/>
    <n v="0"/>
    <n v="57583"/>
    <n v="0"/>
    <n v="19"/>
    <s v="Production Technician I"/>
    <s v="MA"/>
    <n v="2110"/>
    <d v="1978-11-05T00:00:00"/>
    <s v="F"/>
    <s v="Married"/>
    <s v="US Citizen"/>
    <s v="No"/>
    <s v="White"/>
    <d v="2012-07-02T00:00:00"/>
    <m/>
    <s v="N/A-StillEmployed"/>
    <s v="Active"/>
    <x v="0"/>
    <s v="Elijiah Gray"/>
    <n v="16"/>
    <s v="Indeed"/>
    <s v="Fully Meets"/>
    <n v="5"/>
    <n v="3"/>
    <n v="0"/>
    <d v="2019-02-25T00:00:00"/>
    <n v="0"/>
    <n v="1"/>
    <s v="MID"/>
    <s v="MID"/>
    <s v="MID"/>
  </r>
  <r>
    <s v="Davis, Daniel"/>
    <s v="Daniel"/>
    <s v="Davis"/>
    <n v="14"/>
    <s v="MID"/>
    <s v="Solid Performer"/>
    <x v="0"/>
    <n v="10143"/>
    <n v="0"/>
    <n v="0"/>
    <n v="1"/>
    <n v="1"/>
    <n v="5"/>
    <n v="3"/>
    <n v="0"/>
    <n v="56294"/>
    <n v="0"/>
    <n v="20"/>
    <s v="Production Technician II"/>
    <s v="MA"/>
    <n v="2458"/>
    <d v="1979-09-14T00:00:00"/>
    <s v="M "/>
    <s v="Single"/>
    <s v="Eligible NonCitizen"/>
    <s v="No"/>
    <s v="Two or more races"/>
    <d v="2011-11-07T00:00:00"/>
    <m/>
    <s v="N/A-StillEmployed"/>
    <s v="Active"/>
    <x v="0"/>
    <s v="Kissy Sullivan"/>
    <n v="20"/>
    <s v="LinkedIn"/>
    <s v="Fully Meets"/>
    <n v="3.96"/>
    <n v="4"/>
    <n v="0"/>
    <d v="2019-02-27T00:00:00"/>
    <n v="0"/>
    <n v="6"/>
    <s v="MID"/>
    <s v="MID"/>
    <s v="MID"/>
  </r>
  <r>
    <s v="Dee, Randy"/>
    <s v="Randy"/>
    <s v="Dee"/>
    <n v="7"/>
    <s v="MID"/>
    <s v="Solid Performer"/>
    <x v="0"/>
    <n v="10311"/>
    <n v="1"/>
    <n v="1"/>
    <n v="1"/>
    <n v="1"/>
    <n v="6"/>
    <n v="1"/>
    <n v="0"/>
    <n v="56991"/>
    <n v="0"/>
    <n v="19"/>
    <s v="Production Technician I"/>
    <s v="MA"/>
    <n v="2138"/>
    <d v="1988-04-15T00:00:00"/>
    <s v="M "/>
    <s v="Married"/>
    <s v="US Citizen"/>
    <s v="No"/>
    <s v="White"/>
    <d v="2018-07-09T00:00:00"/>
    <m/>
    <s v="N/A-StillEmployed"/>
    <s v="Active"/>
    <x v="0"/>
    <s v="Brannon Miller"/>
    <n v="12"/>
    <s v="Indeed"/>
    <s v="Fully Meets"/>
    <n v="4.3"/>
    <n v="4"/>
    <n v="3"/>
    <d v="2019-01-31T00:00:00"/>
    <n v="2"/>
    <n v="2"/>
    <s v="MID"/>
    <s v="MID"/>
    <s v="MID"/>
  </r>
  <r>
    <s v="DeGweck,  James"/>
    <s v="James"/>
    <s v="DeGweck"/>
    <n v="5"/>
    <s v="MID"/>
    <s v="Solid Performer"/>
    <x v="1"/>
    <n v="10070"/>
    <n v="1"/>
    <n v="1"/>
    <n v="1"/>
    <n v="5"/>
    <n v="5"/>
    <n v="3"/>
    <n v="0"/>
    <n v="55722"/>
    <n v="1"/>
    <n v="19"/>
    <s v="Production Technician I"/>
    <s v="MA"/>
    <n v="1810"/>
    <d v="1977-10-31T00:00:00"/>
    <s v="M "/>
    <s v="Married"/>
    <s v="US Citizen"/>
    <s v="No"/>
    <s v="White"/>
    <d v="2011-05-16T00:00:00"/>
    <d v="2016-06-08T00:00:00"/>
    <s v="unhappy"/>
    <s v="Voluntarily Terminated"/>
    <x v="0"/>
    <s v="Webster Butler"/>
    <n v="39"/>
    <s v="Indeed"/>
    <s v="Fully Meets"/>
    <n v="5"/>
    <n v="4"/>
    <n v="0"/>
    <d v="2016-04-02T00:00:00"/>
    <n v="0"/>
    <n v="14"/>
    <s v="MID"/>
    <s v="MID"/>
    <s v="MID"/>
  </r>
  <r>
    <s v="Del Bosque, Keyla"/>
    <s v="Keyla"/>
    <s v="Del Bosque"/>
    <n v="14"/>
    <s v="Executive"/>
    <s v="Solid Performer"/>
    <x v="0"/>
    <n v="10155"/>
    <n v="0"/>
    <n v="0"/>
    <n v="0"/>
    <n v="1"/>
    <n v="4"/>
    <n v="3"/>
    <n v="0"/>
    <n v="101199"/>
    <n v="0"/>
    <n v="24"/>
    <s v="Software Engineer"/>
    <s v="MA"/>
    <n v="2176"/>
    <d v="1979-07-05T00:00:00"/>
    <s v="F"/>
    <s v="Single"/>
    <s v="US Citizen"/>
    <s v="No"/>
    <s v="Black or African American"/>
    <d v="2012-01-09T00:00:00"/>
    <m/>
    <s v="N/A-StillEmployed"/>
    <s v="Active"/>
    <x v="2"/>
    <s v="Alex Sweetwater"/>
    <n v="10"/>
    <s v="CareerBuilder"/>
    <s v="Fully Meets"/>
    <n v="3.79"/>
    <n v="5"/>
    <n v="5"/>
    <d v="2019-01-25T00:00:00"/>
    <n v="0"/>
    <n v="8"/>
    <s v="Executive"/>
    <s v="Executive"/>
    <s v="Executive"/>
  </r>
  <r>
    <s v="Delarge, Alex"/>
    <s v="Alex"/>
    <s v="Delarge"/>
    <n v="11"/>
    <s v="MID"/>
    <s v="At Risk"/>
    <x v="0"/>
    <n v="10306"/>
    <n v="0"/>
    <n v="0"/>
    <n v="1"/>
    <n v="1"/>
    <n v="6"/>
    <n v="1"/>
    <n v="0"/>
    <n v="61568"/>
    <n v="0"/>
    <n v="3"/>
    <s v="Area Sales Manager"/>
    <s v="AL"/>
    <n v="36006"/>
    <d v="1975-11-02T00:00:00"/>
    <s v="M "/>
    <s v="Single"/>
    <s v="US Citizen"/>
    <s v="No"/>
    <s v="Two or more races"/>
    <d v="2014-09-29T00:00:00"/>
    <m/>
    <s v="N/A-StillEmployed"/>
    <s v="Active"/>
    <x v="4"/>
    <s v="John Smith"/>
    <n v="17"/>
    <s v="Indeed"/>
    <s v="PIP"/>
    <n v="1.93"/>
    <n v="3"/>
    <n v="0"/>
    <d v="2019-01-30T00:00:00"/>
    <n v="6"/>
    <n v="5"/>
    <s v="MID"/>
    <s v="MID"/>
    <s v="MID"/>
  </r>
  <r>
    <s v="Demita, Carla"/>
    <s v="Carla"/>
    <s v="Demita"/>
    <n v="4"/>
    <s v="MID"/>
    <s v="Solid Performer"/>
    <x v="1"/>
    <n v="10100"/>
    <n v="0"/>
    <n v="3"/>
    <n v="0"/>
    <n v="5"/>
    <n v="5"/>
    <n v="3"/>
    <n v="0"/>
    <n v="58275"/>
    <n v="1"/>
    <n v="20"/>
    <s v="Production Technician II"/>
    <s v="MA"/>
    <n v="2343"/>
    <d v="1951-02-25T00:00:00"/>
    <s v="F"/>
    <s v="Separated"/>
    <s v="US Citizen"/>
    <s v="No"/>
    <s v="Black or African American"/>
    <d v="2011-04-04T00:00:00"/>
    <d v="2015-11-04T00:00:00"/>
    <s v="more money"/>
    <s v="Voluntarily Terminated"/>
    <x v="0"/>
    <s v="Kelley Spirea"/>
    <n v="18"/>
    <s v="Google Search"/>
    <s v="Fully Meets"/>
    <n v="4.62"/>
    <n v="5"/>
    <n v="0"/>
    <d v="2015-05-06T00:00:00"/>
    <n v="0"/>
    <n v="1"/>
    <s v="MID"/>
    <s v="MID"/>
    <s v="MID"/>
  </r>
  <r>
    <s v="Desimone, Carl "/>
    <s v="Carl"/>
    <s v="Desimone"/>
    <n v="11"/>
    <s v="MID"/>
    <s v="At Risk"/>
    <x v="0"/>
    <n v="10310"/>
    <n v="1"/>
    <n v="1"/>
    <n v="1"/>
    <n v="1"/>
    <n v="5"/>
    <n v="1"/>
    <n v="0"/>
    <n v="53189"/>
    <n v="0"/>
    <n v="19"/>
    <s v="Production Technician I"/>
    <s v="MA"/>
    <n v="2061"/>
    <d v="1967-04-19T00:00:00"/>
    <s v="M "/>
    <s v="Married"/>
    <s v="US Citizen"/>
    <s v="No"/>
    <s v="White"/>
    <d v="2014-07-07T00:00:00"/>
    <m/>
    <s v="N/A-StillEmployed"/>
    <s v="Active"/>
    <x v="0"/>
    <s v="Amy Dunn"/>
    <n v="11"/>
    <s v="Indeed"/>
    <s v="PIP"/>
    <n v="1.1200000000000001"/>
    <n v="2"/>
    <n v="0"/>
    <d v="2019-01-31T00:00:00"/>
    <n v="4"/>
    <n v="9"/>
    <s v="MID"/>
    <s v="MID"/>
    <s v="MID"/>
  </r>
  <r>
    <s v="DeVito, Tommy"/>
    <s v="Tommy"/>
    <s v="DeVito"/>
    <n v="9"/>
    <s v="HIGH"/>
    <s v="Solid Performer"/>
    <x v="0"/>
    <n v="10197"/>
    <n v="0"/>
    <n v="0"/>
    <n v="1"/>
    <n v="1"/>
    <n v="3"/>
    <n v="3"/>
    <n v="0"/>
    <n v="96820"/>
    <n v="0"/>
    <n v="4"/>
    <s v="BI Developer"/>
    <s v="MA"/>
    <n v="2045"/>
    <d v="1983-09-04T00:00:00"/>
    <s v="M "/>
    <s v="Single"/>
    <s v="US Citizen"/>
    <s v="No"/>
    <s v="White"/>
    <d v="2017-02-15T00:00:00"/>
    <m/>
    <s v="N/A-StillEmployed"/>
    <s v="Active"/>
    <x v="1"/>
    <s v="Brian Champaigne"/>
    <n v="13"/>
    <s v="Indeed"/>
    <s v="Fully Meets"/>
    <n v="3.01"/>
    <n v="5"/>
    <n v="7"/>
    <d v="2019-01-23T00:00:00"/>
    <n v="0"/>
    <n v="15"/>
    <s v="HIGH"/>
    <s v="HIGH"/>
    <s v="HIGH"/>
  </r>
  <r>
    <s v="Dickinson, Geoff "/>
    <s v="Geoff"/>
    <s v="Dickinson"/>
    <n v="11"/>
    <s v="MID"/>
    <s v="Solid Performer"/>
    <x v="0"/>
    <n v="10276"/>
    <n v="0"/>
    <n v="0"/>
    <n v="1"/>
    <n v="1"/>
    <n v="5"/>
    <n v="3"/>
    <n v="0"/>
    <n v="51259"/>
    <n v="0"/>
    <n v="19"/>
    <s v="Production Technician I"/>
    <s v="MA"/>
    <n v="2180"/>
    <d v="1982-11-15T00:00:00"/>
    <s v="M "/>
    <s v="Single"/>
    <s v="US Citizen"/>
    <s v="No"/>
    <s v="White"/>
    <d v="2014-05-12T00:00:00"/>
    <m/>
    <s v="N/A-StillEmployed"/>
    <s v="Active"/>
    <x v="0"/>
    <s v="Ketsia Liebig"/>
    <n v="19"/>
    <s v="Indeed"/>
    <s v="Fully Meets"/>
    <n v="4.3"/>
    <n v="4"/>
    <n v="0"/>
    <d v="2019-02-19T00:00:00"/>
    <n v="0"/>
    <n v="1"/>
    <s v="MID"/>
    <s v="MID"/>
    <s v="MID"/>
  </r>
  <r>
    <s v="Dietrich, Jenna  "/>
    <s v="Jenna"/>
    <s v="Dietrich"/>
    <n v="14"/>
    <s v="MID"/>
    <s v="At Risk"/>
    <x v="0"/>
    <n v="10304"/>
    <n v="0"/>
    <n v="0"/>
    <n v="0"/>
    <n v="1"/>
    <n v="6"/>
    <n v="1"/>
    <n v="0"/>
    <n v="59231"/>
    <n v="0"/>
    <n v="3"/>
    <s v="Area Sales Manager"/>
    <s v="WA"/>
    <n v="98052"/>
    <d v="1987-05-14T00:00:00"/>
    <s v="F"/>
    <s v="Single"/>
    <s v="US Citizen"/>
    <s v="Yes"/>
    <s v="White"/>
    <d v="2012-02-20T00:00:00"/>
    <m/>
    <s v="N/A-StillEmployed"/>
    <s v="Active"/>
    <x v="4"/>
    <s v="John Smith"/>
    <n v="17"/>
    <s v="Website"/>
    <s v="PIP"/>
    <n v="2.2999999999999998"/>
    <n v="1"/>
    <n v="0"/>
    <d v="2019-01-29T00:00:00"/>
    <n v="2"/>
    <n v="17"/>
    <s v="MID"/>
    <s v="MID"/>
    <s v="MID"/>
  </r>
  <r>
    <s v="DiNocco, Lily "/>
    <s v="Lily"/>
    <s v="DiNocco"/>
    <n v="13"/>
    <s v="MID"/>
    <s v="Underperformer"/>
    <x v="0"/>
    <n v="10284"/>
    <n v="1"/>
    <n v="1"/>
    <n v="0"/>
    <n v="1"/>
    <n v="5"/>
    <n v="2"/>
    <n v="0"/>
    <n v="61584"/>
    <n v="0"/>
    <n v="19"/>
    <s v="Production Technician I"/>
    <s v="MA"/>
    <n v="2351"/>
    <d v="1978-12-02T00:00:00"/>
    <s v="F"/>
    <s v="Married"/>
    <s v="US Citizen"/>
    <s v="No"/>
    <s v="Black or African American"/>
    <d v="2013-01-07T00:00:00"/>
    <m/>
    <s v="N/A-StillEmployed"/>
    <s v="Active"/>
    <x v="0"/>
    <s v="Brannon Miller"/>
    <n v="12"/>
    <s v="Indeed"/>
    <s v="Needs Improvement"/>
    <n v="3.88"/>
    <n v="4"/>
    <n v="0"/>
    <d v="2019-01-18T00:00:00"/>
    <n v="0"/>
    <n v="6"/>
    <s v="MID"/>
    <s v="MID"/>
    <s v="MID"/>
  </r>
  <r>
    <s v="Dobrin, Denisa  S"/>
    <s v="Denisa S"/>
    <s v="Dobrin"/>
    <n v="13"/>
    <s v="MID"/>
    <s v="Solid Performer"/>
    <x v="0"/>
    <n v="10207"/>
    <n v="0"/>
    <n v="0"/>
    <n v="0"/>
    <n v="1"/>
    <n v="5"/>
    <n v="3"/>
    <n v="0"/>
    <n v="46335"/>
    <n v="0"/>
    <n v="19"/>
    <s v="Production Technician I"/>
    <s v="MA"/>
    <n v="2125"/>
    <d v="1986-10-07T00:00:00"/>
    <s v="F"/>
    <s v="Single"/>
    <s v="US Citizen"/>
    <s v="Yes"/>
    <s v="White"/>
    <d v="2012-04-02T00:00:00"/>
    <m/>
    <s v="N/A-StillEmployed"/>
    <s v="Active"/>
    <x v="0"/>
    <s v="David Stanley"/>
    <n v="14"/>
    <s v="CareerBuilder"/>
    <s v="Fully Meets"/>
    <n v="3.4"/>
    <n v="5"/>
    <n v="0"/>
    <d v="2019-02-19T00:00:00"/>
    <n v="0"/>
    <n v="15"/>
    <s v="MID"/>
    <s v="MID"/>
    <s v="MID"/>
  </r>
  <r>
    <s v="Dolan, Linda"/>
    <s v="Linda"/>
    <s v="Dolan"/>
    <n v="11"/>
    <s v="HIGH"/>
    <s v="Solid Performer"/>
    <x v="0"/>
    <n v="10133"/>
    <n v="1"/>
    <n v="1"/>
    <n v="0"/>
    <n v="1"/>
    <n v="3"/>
    <n v="3"/>
    <n v="0"/>
    <n v="70621"/>
    <n v="0"/>
    <n v="14"/>
    <s v="IT Support"/>
    <s v="MA"/>
    <n v="2119"/>
    <d v="1988-07-18T00:00:00"/>
    <s v="F"/>
    <s v="Married"/>
    <s v="US Citizen"/>
    <s v="No"/>
    <s v="White"/>
    <d v="2015-01-05T00:00:00"/>
    <m/>
    <s v="N/A-StillEmployed"/>
    <s v="Active"/>
    <x v="1"/>
    <s v="Peter Monroe"/>
    <n v="7"/>
    <s v="Employee Referral"/>
    <s v="Fully Meets"/>
    <n v="4.1100000000000003"/>
    <n v="4"/>
    <n v="6"/>
    <d v="2019-02-25T00:00:00"/>
    <n v="0"/>
    <n v="16"/>
    <s v="HIGH"/>
    <s v="HIGH"/>
    <s v="HIGH"/>
  </r>
  <r>
    <s v="Dougall, Eric"/>
    <s v="Eric"/>
    <s v="Dougall"/>
    <n v="12"/>
    <s v="Executive"/>
    <s v="Top Performer"/>
    <x v="0"/>
    <n v="10028"/>
    <n v="0"/>
    <n v="0"/>
    <n v="1"/>
    <n v="1"/>
    <n v="3"/>
    <n v="4"/>
    <n v="0"/>
    <n v="138888"/>
    <n v="0"/>
    <n v="13"/>
    <s v="IT Manager - Support"/>
    <s v="MA"/>
    <n v="1886"/>
    <d v="1970-07-09T00:00:00"/>
    <s v="M "/>
    <s v="Single"/>
    <s v="US Citizen"/>
    <s v="No"/>
    <s v="Black or African American"/>
    <d v="2014-01-05T00:00:00"/>
    <m/>
    <s v="N/A-StillEmployed"/>
    <s v="Active"/>
    <x v="1"/>
    <s v="Jennifer Zamora"/>
    <n v="5"/>
    <s v="Indeed"/>
    <s v="Exceeds"/>
    <n v="4.3"/>
    <n v="5"/>
    <n v="5"/>
    <d v="2019-01-04T00:00:00"/>
    <n v="0"/>
    <n v="4"/>
    <s v="Executive"/>
    <s v="Executive"/>
    <s v="Executive"/>
  </r>
  <r>
    <s v="Driver, Elle"/>
    <s v="Elle"/>
    <s v="Driver"/>
    <n v="15"/>
    <s v="HIGH"/>
    <s v="Top Performer"/>
    <x v="0"/>
    <n v="10006"/>
    <n v="0"/>
    <n v="0"/>
    <n v="0"/>
    <n v="1"/>
    <n v="6"/>
    <n v="4"/>
    <n v="0"/>
    <n v="74241"/>
    <n v="0"/>
    <n v="3"/>
    <s v="Area Sales Manager"/>
    <s v="CA"/>
    <n v="90007"/>
    <d v="1988-11-08T00:00:00"/>
    <s v="F"/>
    <s v="Single"/>
    <s v="US Citizen"/>
    <s v="No"/>
    <s v="White"/>
    <d v="2011-01-10T00:00:00"/>
    <m/>
    <s v="N/A-StillEmployed"/>
    <s v="Active"/>
    <x v="4"/>
    <s v="Lynn Daneault"/>
    <n v="21"/>
    <s v="Indeed"/>
    <s v="Exceeds"/>
    <n v="4.7699999999999996"/>
    <n v="5"/>
    <n v="0"/>
    <d v="2019-01-27T00:00:00"/>
    <n v="0"/>
    <n v="14"/>
    <s v="HIGH"/>
    <s v="HIGH"/>
    <s v="HIGH"/>
  </r>
  <r>
    <s v="Dunn, Amy  "/>
    <s v="Amy"/>
    <s v="Dunn"/>
    <n v="11"/>
    <s v="HIGH"/>
    <s v="Solid Performer"/>
    <x v="0"/>
    <n v="10105"/>
    <n v="0"/>
    <n v="0"/>
    <n v="0"/>
    <n v="1"/>
    <n v="5"/>
    <n v="3"/>
    <n v="0"/>
    <n v="75188"/>
    <n v="0"/>
    <n v="18"/>
    <s v="Production Manager"/>
    <s v="MA"/>
    <n v="1731"/>
    <d v="1973-11-28T00:00:00"/>
    <s v="F"/>
    <s v="Single"/>
    <s v="US Citizen"/>
    <s v="No"/>
    <s v="White"/>
    <d v="2014-09-18T00:00:00"/>
    <m/>
    <s v="N/A-StillEmployed"/>
    <s v="Active"/>
    <x v="0"/>
    <s v="Janet King"/>
    <n v="2"/>
    <s v="Google Search"/>
    <s v="Fully Meets"/>
    <n v="4.5199999999999996"/>
    <n v="4"/>
    <n v="0"/>
    <d v="2019-01-15T00:00:00"/>
    <n v="0"/>
    <n v="4"/>
    <s v="HIGH"/>
    <s v="HIGH"/>
    <s v="HIGH"/>
  </r>
  <r>
    <s v="Dunne, Amy"/>
    <s v="Amy"/>
    <s v="Dunne"/>
    <n v="15"/>
    <s v="MID"/>
    <s v="Solid Performer"/>
    <x v="0"/>
    <n v="10211"/>
    <n v="1"/>
    <n v="1"/>
    <n v="0"/>
    <n v="1"/>
    <n v="5"/>
    <n v="3"/>
    <n v="0"/>
    <n v="62514"/>
    <n v="0"/>
    <n v="19"/>
    <s v="Production Technician I"/>
    <s v="MA"/>
    <n v="1749"/>
    <d v="1973-09-23T00:00:00"/>
    <s v="F"/>
    <s v="Married"/>
    <s v="US Citizen"/>
    <s v="No"/>
    <s v="White"/>
    <d v="2010-04-26T00:00:00"/>
    <m/>
    <s v="N/A-StillEmployed"/>
    <s v="Active"/>
    <x v="0"/>
    <s v="Ketsia Liebig"/>
    <n v="19"/>
    <s v="Google Search"/>
    <s v="Fully Meets"/>
    <n v="2.9"/>
    <n v="3"/>
    <n v="0"/>
    <d v="2019-01-21T00:00:00"/>
    <n v="0"/>
    <n v="6"/>
    <s v="MID"/>
    <s v="MID"/>
    <s v="MID"/>
  </r>
  <r>
    <s v="Eaton, Marianne"/>
    <s v="Marianne"/>
    <s v="Eaton"/>
    <n v="6"/>
    <s v="MID"/>
    <s v="Solid Performer"/>
    <x v="1"/>
    <n v="10064"/>
    <n v="1"/>
    <n v="1"/>
    <n v="0"/>
    <n v="5"/>
    <n v="5"/>
    <n v="3"/>
    <n v="0"/>
    <n v="60070"/>
    <n v="1"/>
    <n v="19"/>
    <s v="Production Technician I"/>
    <s v="MA"/>
    <n v="2343"/>
    <d v="1991-09-05T00:00:00"/>
    <s v="F"/>
    <s v="Married"/>
    <s v="US Citizen"/>
    <s v="No"/>
    <s v="White"/>
    <d v="2011-04-04T00:00:00"/>
    <d v="2017-06-06T00:00:00"/>
    <s v="military"/>
    <s v="Voluntarily Terminated"/>
    <x v="0"/>
    <s v="Kissy Sullivan"/>
    <n v="20"/>
    <s v="Google Search"/>
    <s v="Fully Meets"/>
    <n v="5"/>
    <n v="3"/>
    <n v="0"/>
    <d v="2017-04-09T00:00:00"/>
    <n v="0"/>
    <n v="7"/>
    <s v="MID"/>
    <s v="MID"/>
    <s v="MID"/>
  </r>
  <r>
    <s v="Engdahl, Jean"/>
    <s v="Jean"/>
    <s v="Engdahl"/>
    <n v="11"/>
    <s v="MID"/>
    <s v="Solid Performer"/>
    <x v="0"/>
    <n v="10247"/>
    <n v="0"/>
    <n v="0"/>
    <n v="1"/>
    <n v="1"/>
    <n v="5"/>
    <n v="3"/>
    <n v="0"/>
    <n v="48888"/>
    <n v="0"/>
    <n v="19"/>
    <s v="Production Technician I"/>
    <s v="MA"/>
    <n v="2026"/>
    <d v="1974-05-31T00:00:00"/>
    <s v="M "/>
    <s v="Single"/>
    <s v="US Citizen"/>
    <s v="No"/>
    <s v="White"/>
    <d v="2014-11-10T00:00:00"/>
    <m/>
    <s v="N/A-StillEmployed"/>
    <s v="Active"/>
    <x v="0"/>
    <s v="Kelley Spirea"/>
    <n v="18"/>
    <s v="LinkedIn"/>
    <s v="Fully Meets"/>
    <n v="4.7"/>
    <n v="5"/>
    <n v="0"/>
    <d v="2019-02-13T00:00:00"/>
    <n v="0"/>
    <n v="8"/>
    <s v="MID"/>
    <s v="MID"/>
    <s v="MID"/>
  </r>
  <r>
    <s v="England, Rex"/>
    <s v="Rex"/>
    <s v="England"/>
    <n v="11"/>
    <s v="MID"/>
    <s v="Solid Performer"/>
    <x v="0"/>
    <n v="10235"/>
    <n v="1"/>
    <n v="1"/>
    <n v="1"/>
    <n v="1"/>
    <n v="5"/>
    <n v="3"/>
    <n v="0"/>
    <n v="54285"/>
    <n v="0"/>
    <n v="19"/>
    <s v="Production Technician I"/>
    <s v="MA"/>
    <n v="2045"/>
    <d v="1978-08-25T00:00:00"/>
    <s v="M "/>
    <s v="Married"/>
    <s v="US Citizen"/>
    <s v="No"/>
    <s v="White"/>
    <d v="2014-03-31T00:00:00"/>
    <m/>
    <s v="N/A-StillEmployed"/>
    <s v="Active"/>
    <x v="0"/>
    <s v="Kelley Spirea"/>
    <n v="18"/>
    <s v="Employee Referral"/>
    <s v="Fully Meets"/>
    <n v="4.2"/>
    <n v="3"/>
    <n v="0"/>
    <d v="2019-01-11T00:00:00"/>
    <n v="0"/>
    <n v="3"/>
    <s v="MID"/>
    <s v="MID"/>
    <s v="MID"/>
  </r>
  <r>
    <s v="Erilus, Angela"/>
    <s v="Angela"/>
    <s v="Erilus"/>
    <n v="11"/>
    <s v="MID"/>
    <s v="At Risk"/>
    <x v="0"/>
    <n v="10299"/>
    <n v="0"/>
    <n v="3"/>
    <n v="0"/>
    <n v="1"/>
    <n v="5"/>
    <n v="1"/>
    <n v="0"/>
    <n v="56847"/>
    <n v="0"/>
    <n v="20"/>
    <s v="Production Technician II"/>
    <s v="MA"/>
    <n v="2133"/>
    <d v="1989-08-25T00:00:00"/>
    <s v="F"/>
    <s v="Separated"/>
    <s v="US Citizen"/>
    <s v="No"/>
    <s v="White"/>
    <d v="2014-07-07T00:00:00"/>
    <m/>
    <s v="N/A-StillEmployed"/>
    <s v="Active"/>
    <x v="0"/>
    <s v="Michael Albert"/>
    <n v="22"/>
    <s v="Indeed"/>
    <s v="PIP"/>
    <n v="3"/>
    <n v="1"/>
    <n v="0"/>
    <d v="2019-02-25T00:00:00"/>
    <n v="2"/>
    <n v="5"/>
    <s v="MID"/>
    <s v="MID"/>
    <s v="MID"/>
  </r>
  <r>
    <s v="Estremera, Miguel"/>
    <s v="Miguel"/>
    <s v="Estremera"/>
    <n v="6"/>
    <s v="MID"/>
    <s v="Underperformer"/>
    <x v="2"/>
    <n v="10280"/>
    <n v="0"/>
    <n v="0"/>
    <n v="1"/>
    <n v="4"/>
    <n v="5"/>
    <n v="2"/>
    <n v="0"/>
    <n v="60340"/>
    <n v="1"/>
    <n v="19"/>
    <s v="Production Technician I"/>
    <s v="MA"/>
    <n v="2129"/>
    <d v="1983-09-02T00:00:00"/>
    <s v="M "/>
    <s v="Single"/>
    <s v="US Citizen"/>
    <s v="No"/>
    <s v="White"/>
    <d v="2012-04-02T00:00:00"/>
    <d v="2018-09-27T00:00:00"/>
    <s v="attendance"/>
    <s v="Terminated for Cause"/>
    <x v="0"/>
    <s v="Michael Albert"/>
    <n v="22"/>
    <s v="Google Search"/>
    <s v="Needs Improvement"/>
    <n v="5"/>
    <n v="4"/>
    <n v="0"/>
    <d v="2018-04-12T00:00:00"/>
    <n v="5"/>
    <n v="16"/>
    <s v="MID"/>
    <s v="MID"/>
    <s v="MID"/>
  </r>
  <r>
    <s v="Evensen, April"/>
    <s v="April"/>
    <s v="Evensen"/>
    <n v="4"/>
    <s v="MID"/>
    <s v="Underperformer"/>
    <x v="2"/>
    <n v="10296"/>
    <n v="0"/>
    <n v="0"/>
    <n v="0"/>
    <n v="4"/>
    <n v="5"/>
    <n v="2"/>
    <n v="0"/>
    <n v="59124"/>
    <n v="1"/>
    <n v="19"/>
    <s v="Production Technician I"/>
    <s v="MA"/>
    <n v="2458"/>
    <d v="1989-05-06T00:00:00"/>
    <s v="F"/>
    <s v="Single"/>
    <s v="US Citizen"/>
    <s v="No"/>
    <s v="White"/>
    <d v="2014-02-17T00:00:00"/>
    <d v="2018-02-25T00:00:00"/>
    <s v="no-call, no-show"/>
    <s v="Terminated for Cause"/>
    <x v="0"/>
    <s v="Elijiah Gray"/>
    <n v="16"/>
    <s v="Google Search"/>
    <s v="Needs Improvement"/>
    <n v="2.2999999999999998"/>
    <n v="3"/>
    <n v="0"/>
    <d v="2017-01-15T00:00:00"/>
    <n v="5"/>
    <n v="19"/>
    <s v="MID"/>
    <s v="MID"/>
    <s v="MID"/>
  </r>
  <r>
    <s v="Exantus, Susan"/>
    <s v="Susan"/>
    <s v="Exantus"/>
    <n v="2"/>
    <s v="HIGH"/>
    <s v="Underperformer"/>
    <x v="2"/>
    <n v="10290"/>
    <n v="1"/>
    <n v="1"/>
    <n v="0"/>
    <n v="4"/>
    <n v="4"/>
    <n v="2"/>
    <n v="0"/>
    <n v="99280"/>
    <n v="1"/>
    <n v="24"/>
    <s v="Software Engineer"/>
    <s v="MA"/>
    <n v="1749"/>
    <d v="1987-05-15T00:00:00"/>
    <s v="F"/>
    <s v="Married"/>
    <s v="US Citizen"/>
    <s v="No"/>
    <s v="Black or African American"/>
    <d v="2011-05-02T00:00:00"/>
    <d v="2013-06-05T00:00:00"/>
    <s v="attendance"/>
    <s v="Terminated for Cause"/>
    <x v="2"/>
    <s v="Alex Sweetwater"/>
    <n v="10"/>
    <s v="Indeed"/>
    <s v="Needs Improvement"/>
    <n v="2.1"/>
    <n v="5"/>
    <n v="4"/>
    <d v="2012-08-10T00:00:00"/>
    <n v="4"/>
    <n v="19"/>
    <s v="HIGH"/>
    <s v="HIGH"/>
    <s v="HIGH"/>
  </r>
  <r>
    <s v="Faller, Megan "/>
    <s v="Megan"/>
    <s v="Faller"/>
    <n v="11"/>
    <s v="HIGH"/>
    <s v="Solid Performer"/>
    <x v="0"/>
    <n v="10263"/>
    <n v="1"/>
    <n v="1"/>
    <n v="0"/>
    <n v="1"/>
    <n v="5"/>
    <n v="3"/>
    <n v="0"/>
    <n v="71776"/>
    <n v="0"/>
    <n v="20"/>
    <s v="Production Technician II"/>
    <s v="MA"/>
    <n v="1824"/>
    <d v="1978-09-22T00:00:00"/>
    <s v="F"/>
    <s v="Married"/>
    <s v="US Citizen"/>
    <s v="No"/>
    <s v="Black or African American"/>
    <d v="2014-07-07T00:00:00"/>
    <m/>
    <s v="N/A-StillEmployed"/>
    <s v="Active"/>
    <x v="0"/>
    <s v="Elijiah Gray"/>
    <n v="16"/>
    <s v="LinkedIn"/>
    <s v="Fully Meets"/>
    <n v="4.4000000000000004"/>
    <n v="5"/>
    <n v="0"/>
    <d v="2019-02-22T00:00:00"/>
    <n v="0"/>
    <n v="17"/>
    <s v="HIGH"/>
    <s v="HIGH"/>
    <s v="HIGH"/>
  </r>
  <r>
    <s v="Fancett, Nicole"/>
    <s v="Nicole"/>
    <s v="Fancett"/>
    <n v="12"/>
    <s v="MID"/>
    <s v="Solid Performer"/>
    <x v="0"/>
    <n v="10136"/>
    <n v="0"/>
    <n v="0"/>
    <n v="0"/>
    <n v="1"/>
    <n v="5"/>
    <n v="3"/>
    <n v="0"/>
    <n v="65902"/>
    <n v="0"/>
    <n v="20"/>
    <s v="Production Technician II"/>
    <s v="MA"/>
    <n v="2324"/>
    <d v="1987-09-27T00:00:00"/>
    <s v="F"/>
    <s v="Single"/>
    <s v="US Citizen"/>
    <s v="No"/>
    <s v="Black or African American"/>
    <d v="2014-02-17T00:00:00"/>
    <m/>
    <s v="N/A-StillEmployed"/>
    <s v="Active"/>
    <x v="0"/>
    <s v="Webster Butler"/>
    <m/>
    <s v="LinkedIn"/>
    <s v="Fully Meets"/>
    <n v="4"/>
    <n v="4"/>
    <n v="0"/>
    <d v="2019-01-07T00:00:00"/>
    <n v="0"/>
    <n v="7"/>
    <s v="MID"/>
    <s v="MID"/>
    <s v="MID"/>
  </r>
  <r>
    <s v="Ferguson, Susan"/>
    <s v="Susan"/>
    <s v="Ferguson"/>
    <n v="4"/>
    <s v="MID"/>
    <s v="Solid Performer"/>
    <x v="1"/>
    <n v="10189"/>
    <n v="1"/>
    <n v="1"/>
    <n v="0"/>
    <n v="5"/>
    <n v="5"/>
    <n v="3"/>
    <n v="0"/>
    <n v="57748"/>
    <n v="1"/>
    <n v="19"/>
    <s v="Production Technician I"/>
    <s v="MA"/>
    <n v="2176"/>
    <d v="1955-04-14T00:00:00"/>
    <s v="F"/>
    <s v="Married"/>
    <s v="US Citizen"/>
    <s v="No"/>
    <s v="White"/>
    <d v="2011-11-07T00:00:00"/>
    <d v="2016-05-17T00:00:00"/>
    <s v="military"/>
    <s v="Voluntarily Terminated"/>
    <x v="0"/>
    <s v="Webster Butler"/>
    <n v="39"/>
    <s v="Google Search"/>
    <s v="Fully Meets"/>
    <n v="3.13"/>
    <n v="3"/>
    <n v="0"/>
    <d v="2016-02-04T00:00:00"/>
    <n v="0"/>
    <n v="16"/>
    <s v="MID"/>
    <s v="MID"/>
    <s v="MID"/>
  </r>
  <r>
    <s v="Fernandes, Nilson  "/>
    <s v="Nilson"/>
    <s v="Fernandes"/>
    <n v="10"/>
    <s v="MID"/>
    <s v="At Risk"/>
    <x v="0"/>
    <n v="10308"/>
    <n v="1"/>
    <n v="1"/>
    <n v="1"/>
    <n v="1"/>
    <n v="5"/>
    <n v="1"/>
    <n v="0"/>
    <n v="64057"/>
    <n v="0"/>
    <n v="19"/>
    <s v="Production Technician I"/>
    <s v="MA"/>
    <n v="2132"/>
    <d v="1989-10-18T00:00:00"/>
    <s v="M "/>
    <s v="Married"/>
    <s v="US Citizen"/>
    <s v="No"/>
    <s v="White"/>
    <d v="2015-05-11T00:00:00"/>
    <m/>
    <s v="N/A-StillEmployed"/>
    <s v="Active"/>
    <x v="0"/>
    <s v="Amy Dunn"/>
    <n v="11"/>
    <s v="Indeed"/>
    <s v="PIP"/>
    <n v="1.56"/>
    <n v="5"/>
    <n v="0"/>
    <d v="2019-01-03T00:00:00"/>
    <n v="6"/>
    <n v="15"/>
    <s v="MID"/>
    <s v="MID"/>
    <s v="MID"/>
  </r>
  <r>
    <s v="Fett, Boba"/>
    <s v="Boba"/>
    <s v="Fett"/>
    <n v="11"/>
    <s v="MID"/>
    <s v="At Risk"/>
    <x v="0"/>
    <n v="10309"/>
    <n v="0"/>
    <n v="0"/>
    <n v="1"/>
    <n v="1"/>
    <n v="3"/>
    <n v="1"/>
    <n v="0"/>
    <n v="53366"/>
    <n v="0"/>
    <n v="15"/>
    <s v="Network Engineer"/>
    <s v="MA"/>
    <n v="2138"/>
    <d v="1987-06-18T00:00:00"/>
    <s v="M "/>
    <s v="Single"/>
    <s v="US Citizen"/>
    <s v="No"/>
    <s v="White"/>
    <d v="2015-03-30T00:00:00"/>
    <m/>
    <s v="N/A-StillEmployed"/>
    <s v="Active"/>
    <x v="1"/>
    <s v="Peter Monroe"/>
    <n v="7"/>
    <s v="LinkedIn"/>
    <s v="PIP"/>
    <n v="1.2"/>
    <n v="3"/>
    <n v="6"/>
    <d v="2019-02-04T00:00:00"/>
    <n v="3"/>
    <n v="2"/>
    <s v="MID"/>
    <s v="MID"/>
    <s v="MID"/>
  </r>
  <r>
    <s v="Fidelia,  Libby"/>
    <s v="Libby"/>
    <s v="Fidelia"/>
    <n v="14"/>
    <s v="MID"/>
    <s v="Solid Performer"/>
    <x v="0"/>
    <n v="10049"/>
    <n v="1"/>
    <n v="1"/>
    <n v="0"/>
    <n v="1"/>
    <n v="5"/>
    <n v="3"/>
    <n v="0"/>
    <n v="58530"/>
    <n v="0"/>
    <n v="19"/>
    <s v="Production Technician I"/>
    <s v="MA"/>
    <n v="2155"/>
    <d v="1981-03-16T00:00:00"/>
    <s v="F"/>
    <s v="Married"/>
    <s v="US Citizen"/>
    <s v="No"/>
    <s v="White"/>
    <d v="2012-01-09T00:00:00"/>
    <m/>
    <s v="N/A-StillEmployed"/>
    <s v="Active"/>
    <x v="0"/>
    <s v="Brannon Miller"/>
    <n v="12"/>
    <s v="Google Search"/>
    <s v="Fully Meets"/>
    <n v="5"/>
    <n v="5"/>
    <n v="0"/>
    <d v="2019-01-29T00:00:00"/>
    <n v="0"/>
    <n v="19"/>
    <s v="MID"/>
    <s v="MID"/>
    <s v="MID"/>
  </r>
  <r>
    <s v="Fitzpatrick, Michael  J"/>
    <s v="Michael J"/>
    <s v="Fitzpatrick"/>
    <n v="2"/>
    <s v="HIGH"/>
    <s v="Solid Performer"/>
    <x v="1"/>
    <n v="10093"/>
    <n v="0"/>
    <n v="0"/>
    <n v="1"/>
    <n v="5"/>
    <n v="5"/>
    <n v="3"/>
    <n v="0"/>
    <n v="72609"/>
    <n v="1"/>
    <n v="20"/>
    <s v="Production Technician II"/>
    <s v="MA"/>
    <n v="2143"/>
    <d v="1981-10-01T00:00:00"/>
    <s v="M "/>
    <s v="Single"/>
    <s v="US Citizen"/>
    <s v="Yes"/>
    <s v="White"/>
    <d v="2011-05-16T00:00:00"/>
    <d v="2013-06-24T00:00:00"/>
    <s v="hours"/>
    <s v="Voluntarily Terminated"/>
    <x v="0"/>
    <s v="Amy Dunn"/>
    <n v="11"/>
    <s v="Google Search"/>
    <s v="Fully Meets"/>
    <n v="4.76"/>
    <n v="5"/>
    <n v="0"/>
    <d v="2013-04-05T00:00:00"/>
    <n v="0"/>
    <n v="20"/>
    <s v="HIGH"/>
    <s v="HIGH"/>
    <s v="HIGH"/>
  </r>
  <r>
    <s v="Foreman, Tanya"/>
    <s v="Tanya"/>
    <s v="Foreman"/>
    <n v="1"/>
    <s v="MID"/>
    <s v="Solid Performer"/>
    <x v="1"/>
    <n v="10163"/>
    <n v="1"/>
    <n v="1"/>
    <n v="0"/>
    <n v="5"/>
    <n v="5"/>
    <n v="3"/>
    <n v="0"/>
    <n v="55965"/>
    <n v="1"/>
    <n v="20"/>
    <s v="Production Technician II"/>
    <s v="MA"/>
    <n v="2170"/>
    <d v="1983-11-08T00:00:00"/>
    <s v="F"/>
    <s v="Married"/>
    <s v="US Citizen"/>
    <s v="No"/>
    <s v="White"/>
    <d v="2011-04-04T00:00:00"/>
    <d v="2013-01-09T00:00:00"/>
    <s v="career change"/>
    <s v="Voluntarily Terminated"/>
    <x v="0"/>
    <s v="Ketsia Liebig"/>
    <n v="19"/>
    <s v="Google Search"/>
    <s v="Fully Meets"/>
    <n v="3.66"/>
    <n v="3"/>
    <n v="0"/>
    <d v="2012-01-07T00:00:00"/>
    <n v="0"/>
    <n v="6"/>
    <s v="MID"/>
    <s v="MID"/>
    <s v="MID"/>
  </r>
  <r>
    <s v="Forrest, Alex"/>
    <s v="Alex"/>
    <s v="Forrest"/>
    <n v="3"/>
    <s v="HIGH"/>
    <s v="At Risk"/>
    <x v="2"/>
    <n v="10305"/>
    <n v="1"/>
    <n v="1"/>
    <n v="1"/>
    <n v="1"/>
    <n v="6"/>
    <n v="3"/>
    <n v="0"/>
    <n v="70187"/>
    <n v="1"/>
    <n v="3"/>
    <s v="Area Sales Manager"/>
    <s v="MA"/>
    <n v="2330"/>
    <d v="1975-07-07T00:00:00"/>
    <s v="M "/>
    <s v="Married"/>
    <s v="US Citizen"/>
    <s v="No"/>
    <s v="White"/>
    <d v="2014-09-29T00:00:00"/>
    <d v="2018-08-19T00:00:00"/>
    <s v="Fatal attraction"/>
    <s v="Terminated for Cause"/>
    <x v="4"/>
    <s v="Lynn Daneault"/>
    <n v="21"/>
    <s v="Employee Referral"/>
    <s v="PIP"/>
    <n v="2"/>
    <n v="5"/>
    <n v="0"/>
    <d v="2019-01-28T00:00:00"/>
    <n v="4"/>
    <n v="7"/>
    <s v="HIGH"/>
    <s v="HIGH"/>
    <s v="HIGH"/>
  </r>
  <r>
    <s v="Foss, Jason"/>
    <s v="Jason"/>
    <s v="Foss"/>
    <n v="14"/>
    <s v="Executive"/>
    <s v="Top Performer"/>
    <x v="0"/>
    <n v="10015"/>
    <n v="0"/>
    <n v="0"/>
    <n v="1"/>
    <n v="1"/>
    <n v="3"/>
    <n v="4"/>
    <n v="0"/>
    <n v="178000"/>
    <n v="0"/>
    <n v="12"/>
    <s v="IT Director"/>
    <s v="MA"/>
    <n v="1460"/>
    <d v="1980-07-05T00:00:00"/>
    <s v="M "/>
    <s v="Single"/>
    <s v="US Citizen"/>
    <s v="No"/>
    <s v="Black or African American"/>
    <d v="2011-04-15T00:00:00"/>
    <m/>
    <s v="N/A-StillEmployed"/>
    <s v="Active"/>
    <x v="1"/>
    <s v="Jennifer Zamora"/>
    <n v="5"/>
    <s v="Indeed"/>
    <s v="Exceeds"/>
    <n v="5"/>
    <n v="5"/>
    <n v="5"/>
    <d v="2019-01-07T00:00:00"/>
    <n v="0"/>
    <n v="15"/>
    <s v="Executive"/>
    <s v="Executive"/>
    <s v="Executive"/>
  </r>
  <r>
    <s v="Foster-Baker, Amy"/>
    <s v="Amy"/>
    <s v="Foster-Baker"/>
    <n v="17"/>
    <s v="HIGH"/>
    <s v="Solid Performer"/>
    <x v="0"/>
    <n v="10080"/>
    <n v="1"/>
    <n v="1"/>
    <n v="0"/>
    <n v="1"/>
    <n v="1"/>
    <n v="3"/>
    <n v="0"/>
    <n v="99351"/>
    <n v="0"/>
    <n v="26"/>
    <s v="Sr. Accountant"/>
    <s v="MA"/>
    <n v="2050"/>
    <d v="1979-04-16T00:00:00"/>
    <s v="F"/>
    <s v="Married"/>
    <s v="US Citizen"/>
    <s v="No"/>
    <s v="White"/>
    <d v="2009-01-05T00:00:00"/>
    <m/>
    <s v="N/A-StillEmployed"/>
    <s v="Active"/>
    <x v="3"/>
    <s v="Board of Directors"/>
    <n v="9"/>
    <s v="Other"/>
    <s v="Fully Meets"/>
    <n v="5"/>
    <n v="3"/>
    <n v="2"/>
    <d v="2019-02-08T00:00:00"/>
    <n v="0"/>
    <n v="3"/>
    <s v="HIGH"/>
    <s v="HIGH"/>
    <s v="HIGH"/>
  </r>
  <r>
    <s v="Fraval, Maruk "/>
    <s v="Maruk"/>
    <s v="Fraval"/>
    <n v="14"/>
    <s v="MID"/>
    <s v="Solid Performer"/>
    <x v="0"/>
    <n v="10258"/>
    <n v="0"/>
    <n v="0"/>
    <n v="1"/>
    <n v="1"/>
    <n v="6"/>
    <n v="3"/>
    <n v="0"/>
    <n v="67251"/>
    <n v="0"/>
    <n v="3"/>
    <s v="Area Sales Manager"/>
    <s v="CT"/>
    <n v="6050"/>
    <d v="1963-08-28T00:00:00"/>
    <s v="M "/>
    <s v="Single"/>
    <s v="US Citizen"/>
    <s v="No"/>
    <s v="Black or African American"/>
    <d v="2011-09-06T00:00:00"/>
    <m/>
    <s v="N/A-StillEmployed"/>
    <s v="Active"/>
    <x v="4"/>
    <s v="Lynn Daneault"/>
    <n v="21"/>
    <s v="CareerBuilder"/>
    <s v="Fully Meets"/>
    <n v="4.3"/>
    <n v="3"/>
    <n v="0"/>
    <d v="2019-01-27T00:00:00"/>
    <n v="2"/>
    <n v="7"/>
    <s v="MID"/>
    <s v="MID"/>
    <s v="MID"/>
  </r>
  <r>
    <s v="Galia, Lisa"/>
    <s v="Lisa"/>
    <s v="Galia"/>
    <n v="15"/>
    <s v="MID"/>
    <s v="Solid Performer"/>
    <x v="0"/>
    <n v="10273"/>
    <n v="0"/>
    <n v="0"/>
    <n v="0"/>
    <n v="1"/>
    <n v="3"/>
    <n v="3"/>
    <n v="0"/>
    <n v="65707"/>
    <n v="0"/>
    <n v="14"/>
    <s v="IT Support"/>
    <s v="CT"/>
    <n v="6040"/>
    <d v="1968-07-06T00:00:00"/>
    <s v="F"/>
    <s v="Single"/>
    <s v="US Citizen"/>
    <s v="No"/>
    <s v="White"/>
    <d v="2010-05-01T00:00:00"/>
    <m/>
    <s v="N/A-StillEmployed"/>
    <s v="Active"/>
    <x v="1"/>
    <s v="Eric Dougall"/>
    <n v="6"/>
    <s v="LinkedIn"/>
    <s v="Fully Meets"/>
    <n v="4.7"/>
    <n v="4"/>
    <n v="5"/>
    <d v="2019-02-01T00:00:00"/>
    <n v="0"/>
    <n v="1"/>
    <s v="MID"/>
    <s v="MID"/>
    <s v="MID"/>
  </r>
  <r>
    <s v="Garcia, Raul"/>
    <s v="Raul"/>
    <s v="Garcia"/>
    <n v="11"/>
    <s v="MID"/>
    <s v="Solid Performer"/>
    <x v="0"/>
    <n v="10111"/>
    <n v="0"/>
    <n v="0"/>
    <n v="1"/>
    <n v="1"/>
    <n v="5"/>
    <n v="3"/>
    <n v="0"/>
    <n v="52249"/>
    <n v="0"/>
    <n v="19"/>
    <s v="Production Technician I"/>
    <s v="MA"/>
    <n v="1905"/>
    <d v="1985-09-15T00:00:00"/>
    <s v="M "/>
    <s v="Single"/>
    <s v="US Citizen"/>
    <s v="Yes"/>
    <s v="White"/>
    <d v="2015-03-30T00:00:00"/>
    <m/>
    <s v="N/A-StillEmployed"/>
    <s v="Active"/>
    <x v="0"/>
    <s v="David Stanley"/>
    <n v="14"/>
    <s v="Employee Referral"/>
    <s v="Fully Meets"/>
    <n v="4.5"/>
    <n v="3"/>
    <n v="0"/>
    <d v="2019-02-18T00:00:00"/>
    <n v="0"/>
    <n v="5"/>
    <s v="MID"/>
    <s v="MID"/>
    <s v="MID"/>
  </r>
  <r>
    <s v="Gaul, Barbara"/>
    <s v="Barbara"/>
    <s v="Gaul"/>
    <n v="14"/>
    <s v="MID"/>
    <s v="Solid Performer"/>
    <x v="0"/>
    <n v="10257"/>
    <n v="0"/>
    <n v="0"/>
    <n v="0"/>
    <n v="1"/>
    <n v="5"/>
    <n v="3"/>
    <n v="0"/>
    <n v="53171"/>
    <n v="0"/>
    <n v="19"/>
    <s v="Production Technician I"/>
    <s v="MA"/>
    <n v="2121"/>
    <d v="1983-12-02T00:00:00"/>
    <s v="F"/>
    <s v="Single"/>
    <s v="US Citizen"/>
    <s v="Yes"/>
    <s v="Black or African American"/>
    <d v="2011-05-16T00:00:00"/>
    <m/>
    <s v="N/A-StillEmployed"/>
    <s v="Active"/>
    <x v="0"/>
    <s v="Kelley Spirea"/>
    <n v="18"/>
    <s v="LinkedIn"/>
    <s v="Fully Meets"/>
    <n v="4.2"/>
    <n v="4"/>
    <n v="0"/>
    <d v="2019-02-26T00:00:00"/>
    <n v="0"/>
    <n v="12"/>
    <s v="MID"/>
    <s v="MID"/>
    <s v="MID"/>
  </r>
  <r>
    <s v="Gentry, Mildred"/>
    <s v="Mildred"/>
    <s v="Gentry"/>
    <n v="11"/>
    <s v="MID"/>
    <s v="Solid Performer"/>
    <x v="0"/>
    <n v="10159"/>
    <n v="1"/>
    <n v="1"/>
    <n v="0"/>
    <n v="1"/>
    <n v="5"/>
    <n v="3"/>
    <n v="0"/>
    <n v="51337"/>
    <n v="0"/>
    <n v="19"/>
    <s v="Production Technician I"/>
    <s v="MA"/>
    <n v="2145"/>
    <d v="1990-10-01T00:00:00"/>
    <s v="F"/>
    <s v="Married"/>
    <s v="US Citizen"/>
    <s v="No"/>
    <s v="Black or African American"/>
    <d v="2015-03-30T00:00:00"/>
    <m/>
    <s v="N/A-StillEmployed"/>
    <s v="Active"/>
    <x v="0"/>
    <s v="Michael Albert"/>
    <n v="22"/>
    <s v="LinkedIn"/>
    <s v="Fully Meets"/>
    <n v="3.73"/>
    <n v="3"/>
    <n v="0"/>
    <d v="2019-01-16T00:00:00"/>
    <n v="0"/>
    <n v="19"/>
    <s v="MID"/>
    <s v="MID"/>
    <s v="MID"/>
  </r>
  <r>
    <s v="Gerke, Melisa"/>
    <s v="Melisa"/>
    <s v="Gerke"/>
    <n v="5"/>
    <s v="MID"/>
    <s v="Solid Performer"/>
    <x v="1"/>
    <n v="10122"/>
    <n v="0"/>
    <n v="2"/>
    <n v="0"/>
    <n v="5"/>
    <n v="5"/>
    <n v="3"/>
    <n v="1"/>
    <n v="51505"/>
    <n v="1"/>
    <n v="19"/>
    <s v="Production Technician I"/>
    <s v="MA"/>
    <n v="2330"/>
    <d v="1970-05-15T00:00:00"/>
    <s v="F"/>
    <s v="Divorced"/>
    <s v="US Citizen"/>
    <s v="No"/>
    <s v="Black or African American"/>
    <d v="2011-11-07T00:00:00"/>
    <d v="2016-11-15T00:00:00"/>
    <s v="hours"/>
    <s v="Voluntarily Terminated"/>
    <x v="0"/>
    <s v="Elijiah Gray"/>
    <n v="16"/>
    <s v="Diversity Job Fair"/>
    <s v="Fully Meets"/>
    <n v="4.24"/>
    <n v="4"/>
    <n v="0"/>
    <d v="2016-04-29T00:00:00"/>
    <n v="0"/>
    <n v="2"/>
    <s v="MID"/>
    <s v="MID"/>
    <s v="MID"/>
  </r>
  <r>
    <s v="Gill, Whitney  "/>
    <s v="Whitney"/>
    <s v="Gill"/>
    <n v="1"/>
    <s v="MID"/>
    <s v="Solid Performer"/>
    <x v="2"/>
    <n v="10142"/>
    <n v="0"/>
    <n v="4"/>
    <n v="0"/>
    <n v="4"/>
    <n v="6"/>
    <n v="3"/>
    <n v="0"/>
    <n v="59370"/>
    <n v="1"/>
    <n v="3"/>
    <s v="Area Sales Manager"/>
    <s v="OH"/>
    <n v="43050"/>
    <d v="1971-07-10T00:00:00"/>
    <s v="F"/>
    <s v="Widowed"/>
    <s v="US Citizen"/>
    <s v="No"/>
    <s v="Black or African American"/>
    <d v="2014-07-07T00:00:00"/>
    <d v="2015-09-05T00:00:00"/>
    <s v="attendance"/>
    <s v="Terminated for Cause"/>
    <x v="4"/>
    <s v="John Smith"/>
    <n v="17"/>
    <s v="CareerBuilder"/>
    <s v="Fully Meets"/>
    <n v="3.97"/>
    <n v="4"/>
    <n v="0"/>
    <d v="2014-01-15T00:00:00"/>
    <n v="0"/>
    <n v="7"/>
    <s v="MID"/>
    <s v="MID"/>
    <s v="MID"/>
  </r>
  <r>
    <s v="Gilles, Alex"/>
    <s v="Alex"/>
    <s v="Gilles"/>
    <n v="3"/>
    <s v="MID"/>
    <s v="Underperformer"/>
    <x v="1"/>
    <n v="10283"/>
    <n v="1"/>
    <n v="1"/>
    <n v="1"/>
    <n v="5"/>
    <n v="5"/>
    <n v="2"/>
    <n v="1"/>
    <n v="54933"/>
    <n v="1"/>
    <n v="19"/>
    <s v="Production Technician I"/>
    <s v="MA"/>
    <n v="2062"/>
    <d v="1974-08-09T00:00:00"/>
    <s v="M "/>
    <s v="Married"/>
    <s v="US Citizen"/>
    <s v="No"/>
    <s v="Black or African American"/>
    <d v="2012-04-02T00:00:00"/>
    <d v="2015-06-25T00:00:00"/>
    <s v="military"/>
    <s v="Voluntarily Terminated"/>
    <x v="0"/>
    <s v="Webster Butler"/>
    <n v="39"/>
    <s v="Diversity Job Fair"/>
    <s v="Needs Improvement"/>
    <n v="3.97"/>
    <n v="4"/>
    <n v="0"/>
    <d v="2015-01-20T00:00:00"/>
    <n v="3"/>
    <n v="15"/>
    <s v="MID"/>
    <s v="MID"/>
    <s v="MID"/>
  </r>
  <r>
    <s v="Girifalco, Evelyn"/>
    <s v="Evelyn"/>
    <s v="Girifalco"/>
    <n v="11"/>
    <s v="MID"/>
    <s v="Top Performer"/>
    <x v="0"/>
    <n v="10018"/>
    <n v="0"/>
    <n v="0"/>
    <n v="0"/>
    <n v="1"/>
    <n v="5"/>
    <n v="4"/>
    <n v="0"/>
    <n v="57815"/>
    <n v="0"/>
    <n v="19"/>
    <s v="Production Technician I"/>
    <s v="MA"/>
    <n v="2451"/>
    <d v="1980-05-08T00:00:00"/>
    <s v="F"/>
    <s v="Single"/>
    <s v="US Citizen"/>
    <s v="Yes"/>
    <s v="Two or more races"/>
    <d v="2014-09-29T00:00:00"/>
    <m/>
    <s v="N/A-StillEmployed"/>
    <s v="Active"/>
    <x v="0"/>
    <s v="Amy Dunn"/>
    <n v="11"/>
    <s v="Indeed"/>
    <s v="Exceeds"/>
    <n v="3.9"/>
    <n v="4"/>
    <n v="0"/>
    <d v="2019-02-07T00:00:00"/>
    <n v="0"/>
    <n v="3"/>
    <s v="MID"/>
    <s v="MID"/>
    <s v="MID"/>
  </r>
  <r>
    <s v="Givens, Myriam"/>
    <s v="Myriam"/>
    <s v="Givens"/>
    <n v="11"/>
    <s v="MID"/>
    <s v="Solid Performer"/>
    <x v="0"/>
    <n v="10255"/>
    <n v="0"/>
    <n v="0"/>
    <n v="0"/>
    <n v="1"/>
    <n v="6"/>
    <n v="3"/>
    <n v="0"/>
    <n v="61555"/>
    <n v="0"/>
    <n v="3"/>
    <s v="Area Sales Manager"/>
    <s v="IN"/>
    <n v="46204"/>
    <d v="1989-09-22T00:00:00"/>
    <s v="F"/>
    <s v="Single"/>
    <s v="US Citizen"/>
    <s v="No"/>
    <s v="White"/>
    <d v="2015-02-16T00:00:00"/>
    <m/>
    <s v="N/A-StillEmployed"/>
    <s v="Active"/>
    <x v="4"/>
    <s v="Lynn Daneault"/>
    <n v="21"/>
    <s v="Indeed"/>
    <s v="Fully Meets"/>
    <n v="4.5"/>
    <n v="5"/>
    <n v="0"/>
    <d v="2019-01-25T00:00:00"/>
    <n v="0"/>
    <n v="20"/>
    <s v="MID"/>
    <s v="MID"/>
    <s v="MID"/>
  </r>
  <r>
    <s v="Goble, Taisha"/>
    <s v="Taisha"/>
    <s v="Goble"/>
    <n v="0"/>
    <s v="Executive"/>
    <s v="Solid Performer"/>
    <x v="2"/>
    <n v="10246"/>
    <n v="0"/>
    <n v="0"/>
    <n v="0"/>
    <n v="4"/>
    <n v="3"/>
    <n v="3"/>
    <n v="0"/>
    <n v="114800"/>
    <n v="1"/>
    <n v="8"/>
    <s v="Database Administrator"/>
    <s v="MA"/>
    <n v="2127"/>
    <d v="1971-10-23T00:00:00"/>
    <s v="F"/>
    <s v="Single"/>
    <s v="US Citizen"/>
    <s v="No"/>
    <s v="White"/>
    <d v="2015-02-16T00:00:00"/>
    <d v="2015-03-15T00:00:00"/>
    <s v="no-call, no-show"/>
    <s v="Terminated for Cause"/>
    <x v="1"/>
    <s v="Simon Roup"/>
    <n v="4"/>
    <s v="Indeed"/>
    <s v="Fully Meets"/>
    <n v="4.5999999999999996"/>
    <n v="4"/>
    <n v="4"/>
    <d v="2015-01-20T00:00:00"/>
    <n v="0"/>
    <n v="10"/>
    <s v="Executive"/>
    <s v="Executive"/>
    <s v="Executive"/>
  </r>
  <r>
    <s v="Goeth, Amon"/>
    <s v="Amon"/>
    <s v="Goeth"/>
    <n v="11"/>
    <s v="HIGH"/>
    <s v="Solid Performer"/>
    <x v="0"/>
    <n v="10228"/>
    <n v="1"/>
    <n v="1"/>
    <n v="1"/>
    <n v="1"/>
    <n v="3"/>
    <n v="3"/>
    <n v="0"/>
    <n v="74679"/>
    <n v="0"/>
    <n v="14"/>
    <s v="IT Support"/>
    <s v="MA"/>
    <n v="2135"/>
    <d v="1989-11-24T00:00:00"/>
    <s v="M "/>
    <s v="Married"/>
    <s v="US Citizen"/>
    <s v="Yes"/>
    <s v="White"/>
    <d v="2015-03-30T00:00:00"/>
    <m/>
    <s v="N/A-StillEmployed"/>
    <s v="Active"/>
    <x v="1"/>
    <s v="Peter Monroe"/>
    <n v="7"/>
    <s v="LinkedIn"/>
    <s v="Fully Meets"/>
    <n v="4.3"/>
    <n v="5"/>
    <n v="7"/>
    <d v="2019-01-10T00:00:00"/>
    <n v="0"/>
    <n v="20"/>
    <s v="HIGH"/>
    <s v="HIGH"/>
    <s v="HIGH"/>
  </r>
  <r>
    <s v="Gold, Shenice  "/>
    <s v="Shenice"/>
    <s v="Gold"/>
    <n v="12"/>
    <s v="MID"/>
    <s v="Solid Performer"/>
    <x v="0"/>
    <n v="10243"/>
    <n v="0"/>
    <n v="0"/>
    <n v="0"/>
    <n v="1"/>
    <n v="5"/>
    <n v="3"/>
    <n v="0"/>
    <n v="53018"/>
    <n v="0"/>
    <n v="19"/>
    <s v="Production Technician I"/>
    <s v="MA"/>
    <n v="2451"/>
    <d v="1992-06-18T00:00:00"/>
    <s v="F"/>
    <s v="Single"/>
    <s v="US Citizen"/>
    <s v="Yes"/>
    <s v="White"/>
    <d v="2013-11-11T00:00:00"/>
    <m/>
    <s v="N/A-StillEmployed"/>
    <s v="Active"/>
    <x v="0"/>
    <s v="Ketsia Liebig"/>
    <n v="19"/>
    <s v="Indeed"/>
    <s v="Fully Meets"/>
    <n v="4.3"/>
    <n v="5"/>
    <n v="0"/>
    <d v="2019-02-18T00:00:00"/>
    <n v="0"/>
    <n v="7"/>
    <s v="MID"/>
    <s v="MID"/>
    <s v="MID"/>
  </r>
  <r>
    <s v="Gonzalez, Cayo"/>
    <s v="Cayo"/>
    <s v="Gonzalez"/>
    <n v="14"/>
    <s v="MID"/>
    <s v="Top Performer"/>
    <x v="0"/>
    <n v="10031"/>
    <n v="0"/>
    <n v="2"/>
    <n v="1"/>
    <n v="1"/>
    <n v="5"/>
    <n v="4"/>
    <n v="1"/>
    <n v="59892"/>
    <n v="0"/>
    <n v="19"/>
    <s v="Production Technician I"/>
    <s v="MA"/>
    <n v="2108"/>
    <d v="1969-09-29T00:00:00"/>
    <s v="M "/>
    <s v="Divorced"/>
    <s v="US Citizen"/>
    <s v="No"/>
    <s v="Black or African American"/>
    <d v="2011-07-11T00:00:00"/>
    <m/>
    <s v="N/A-StillEmployed"/>
    <s v="Active"/>
    <x v="0"/>
    <s v="Brannon Miller"/>
    <n v="12"/>
    <s v="Diversity Job Fair"/>
    <s v="Exceeds"/>
    <n v="4.5"/>
    <n v="4"/>
    <n v="0"/>
    <d v="2019-02-18T00:00:00"/>
    <n v="0"/>
    <n v="1"/>
    <s v="MID"/>
    <s v="MID"/>
    <s v="MID"/>
  </r>
  <r>
    <s v="Gonzalez, Juan"/>
    <s v="Juan"/>
    <s v="Gonzalez"/>
    <n v="1"/>
    <s v="MID"/>
    <s v="At Risk"/>
    <x v="1"/>
    <n v="10300"/>
    <n v="1"/>
    <n v="1"/>
    <n v="1"/>
    <n v="5"/>
    <n v="5"/>
    <n v="1"/>
    <n v="1"/>
    <n v="68898"/>
    <n v="1"/>
    <n v="20"/>
    <s v="Production Technician II"/>
    <s v="MA"/>
    <n v="2128"/>
    <d v="1964-10-12T00:00:00"/>
    <s v="M "/>
    <s v="Married"/>
    <s v="US Citizen"/>
    <s v="No"/>
    <s v="Black or African American"/>
    <d v="2010-04-26T00:00:00"/>
    <d v="2011-05-30T00:00:00"/>
    <s v="career change"/>
    <s v="Voluntarily Terminated"/>
    <x v="0"/>
    <s v="Brannon Miller"/>
    <n v="12"/>
    <s v="Diversity Job Fair"/>
    <s v="PIP"/>
    <n v="3"/>
    <n v="3"/>
    <n v="0"/>
    <d v="2011-03-06T00:00:00"/>
    <n v="3"/>
    <n v="10"/>
    <s v="MID"/>
    <s v="MID"/>
    <s v="MID"/>
  </r>
  <r>
    <s v="Gonzalez, Maria"/>
    <s v="Maria"/>
    <s v="Gonzalez"/>
    <n v="11"/>
    <s v="MID"/>
    <s v="Solid Performer"/>
    <x v="0"/>
    <n v="10101"/>
    <n v="0"/>
    <n v="3"/>
    <n v="0"/>
    <n v="1"/>
    <n v="3"/>
    <n v="3"/>
    <n v="0"/>
    <n v="61242"/>
    <n v="0"/>
    <n v="14"/>
    <s v="IT Support"/>
    <s v="MA"/>
    <n v="2472"/>
    <d v="1981-04-16T00:00:00"/>
    <s v="F"/>
    <s v="Separated"/>
    <s v="US Citizen"/>
    <s v="Yes"/>
    <s v="White"/>
    <d v="2015-01-05T00:00:00"/>
    <m/>
    <s v="N/A-StillEmployed"/>
    <s v="Active"/>
    <x v="1"/>
    <s v="Peter Monroe"/>
    <n v="7"/>
    <s v="Employee Referral"/>
    <s v="Fully Meets"/>
    <n v="4.6100000000000003"/>
    <n v="4"/>
    <n v="5"/>
    <d v="2019-01-28T00:00:00"/>
    <n v="0"/>
    <n v="11"/>
    <s v="MID"/>
    <s v="MID"/>
    <s v="MID"/>
  </r>
  <r>
    <s v="Good, Susan"/>
    <s v="Susan"/>
    <s v="Good"/>
    <n v="11"/>
    <s v="MID"/>
    <s v="Solid Performer"/>
    <x v="0"/>
    <n v="10237"/>
    <n v="1"/>
    <n v="1"/>
    <n v="0"/>
    <n v="3"/>
    <n v="5"/>
    <n v="3"/>
    <n v="0"/>
    <n v="66825"/>
    <n v="0"/>
    <n v="20"/>
    <s v="Production Technician II"/>
    <s v="MA"/>
    <n v="1886"/>
    <d v="1986-05-25T00:00:00"/>
    <s v="F"/>
    <s v="Married"/>
    <s v="US Citizen"/>
    <s v="No"/>
    <s v="White"/>
    <d v="2014-05-12T00:00:00"/>
    <m/>
    <s v="N/A-StillEmployed"/>
    <s v="Active"/>
    <x v="0"/>
    <s v="David Stanley"/>
    <n v="14"/>
    <s v="LinkedIn"/>
    <s v="Fully Meets"/>
    <n v="4.5999999999999996"/>
    <n v="3"/>
    <n v="0"/>
    <d v="2019-02-07T00:00:00"/>
    <n v="0"/>
    <n v="20"/>
    <s v="MID"/>
    <s v="MID"/>
    <s v="MID"/>
  </r>
  <r>
    <s v="Gordon, David"/>
    <s v="David"/>
    <s v="Gordon"/>
    <n v="13"/>
    <s v="MID"/>
    <s v="Solid Performer"/>
    <x v="0"/>
    <n v="10051"/>
    <n v="1"/>
    <n v="1"/>
    <n v="1"/>
    <n v="1"/>
    <n v="5"/>
    <n v="3"/>
    <n v="0"/>
    <n v="48285"/>
    <n v="0"/>
    <n v="19"/>
    <s v="Production Technician I"/>
    <s v="MA"/>
    <n v="2169"/>
    <d v="1979-05-21T00:00:00"/>
    <s v="M "/>
    <s v="Married"/>
    <s v="US Citizen"/>
    <s v="No"/>
    <s v="White"/>
    <d v="2012-07-02T00:00:00"/>
    <m/>
    <s v="N/A-StillEmployed"/>
    <s v="Active"/>
    <x v="0"/>
    <s v="David Stanley"/>
    <n v="14"/>
    <s v="LinkedIn"/>
    <s v="Fully Meets"/>
    <n v="5"/>
    <n v="3"/>
    <n v="0"/>
    <d v="2019-01-14T00:00:00"/>
    <n v="0"/>
    <n v="2"/>
    <s v="MID"/>
    <s v="MID"/>
    <s v="MID"/>
  </r>
  <r>
    <s v="Gosciminski, Phylicia  "/>
    <s v="Phylicia"/>
    <s v="Gosciminski"/>
    <n v="12"/>
    <s v="MID"/>
    <s v="Solid Performer"/>
    <x v="0"/>
    <n v="10218"/>
    <n v="0"/>
    <n v="3"/>
    <n v="0"/>
    <n v="3"/>
    <n v="5"/>
    <n v="3"/>
    <n v="0"/>
    <n v="66149"/>
    <n v="0"/>
    <n v="20"/>
    <s v="Production Technician II"/>
    <s v="MA"/>
    <n v="1824"/>
    <d v="1983-12-08T00:00:00"/>
    <s v="F"/>
    <s v="Separated"/>
    <s v="US Citizen"/>
    <s v="No"/>
    <s v="American Indian or Alaska Native"/>
    <d v="2013-09-30T00:00:00"/>
    <m/>
    <s v="N/A-StillEmployed"/>
    <s v="Active"/>
    <x v="0"/>
    <s v="Kissy Sullivan"/>
    <n v="20"/>
    <s v="Google Search"/>
    <s v="Fully Meets"/>
    <n v="4.4000000000000004"/>
    <n v="5"/>
    <n v="0"/>
    <d v="2019-02-21T00:00:00"/>
    <n v="0"/>
    <n v="1"/>
    <s v="MID"/>
    <s v="MID"/>
    <s v="MID"/>
  </r>
  <r>
    <s v="Goyal, Roxana"/>
    <s v="Roxana"/>
    <s v="Goyal"/>
    <n v="12"/>
    <s v="MID"/>
    <s v="Solid Performer"/>
    <x v="0"/>
    <n v="10256"/>
    <n v="1"/>
    <n v="1"/>
    <n v="0"/>
    <n v="3"/>
    <n v="5"/>
    <n v="3"/>
    <n v="0"/>
    <n v="49256"/>
    <n v="0"/>
    <n v="19"/>
    <s v="Production Technician I"/>
    <s v="MA"/>
    <n v="1864"/>
    <d v="1974-10-09T00:00:00"/>
    <s v="F"/>
    <s v="Married"/>
    <s v="US Citizen"/>
    <s v="No"/>
    <s v="Asian"/>
    <d v="2013-08-19T00:00:00"/>
    <m/>
    <s v="N/A-StillEmployed"/>
    <s v="Active"/>
    <x v="0"/>
    <s v="Kissy Sullivan"/>
    <n v="20"/>
    <s v="LinkedIn"/>
    <s v="Fully Meets"/>
    <n v="4.0999999999999996"/>
    <n v="5"/>
    <n v="0"/>
    <d v="2019-02-15T00:00:00"/>
    <n v="0"/>
    <n v="3"/>
    <s v="MID"/>
    <s v="MID"/>
    <s v="MID"/>
  </r>
  <r>
    <s v="Gray, Elijiah  "/>
    <s v="Elijiah"/>
    <s v="Gray"/>
    <n v="10"/>
    <s v="MID"/>
    <s v="Solid Performer"/>
    <x v="0"/>
    <n v="10098"/>
    <n v="0"/>
    <n v="2"/>
    <n v="1"/>
    <n v="1"/>
    <n v="5"/>
    <n v="3"/>
    <n v="0"/>
    <n v="62957"/>
    <n v="0"/>
    <n v="18"/>
    <s v="Production Manager"/>
    <s v="MA"/>
    <n v="1752"/>
    <d v="1981-07-11T00:00:00"/>
    <s v="M "/>
    <s v="Divorced"/>
    <s v="US Citizen"/>
    <s v="No"/>
    <s v="White"/>
    <d v="2015-06-02T00:00:00"/>
    <m/>
    <s v="N/A-StillEmployed"/>
    <s v="Active"/>
    <x v="0"/>
    <s v="Janet King"/>
    <n v="2"/>
    <s v="Employee Referral"/>
    <s v="Fully Meets"/>
    <n v="4.63"/>
    <n v="3"/>
    <n v="0"/>
    <d v="2019-01-04T00:00:00"/>
    <n v="0"/>
    <n v="2"/>
    <s v="MID"/>
    <s v="MID"/>
    <s v="MID"/>
  </r>
  <r>
    <s v="Gross, Paula"/>
    <s v="Paula"/>
    <s v="Gross"/>
    <n v="2"/>
    <s v="MID"/>
    <s v="Solid Performer"/>
    <x v="1"/>
    <n v="10059"/>
    <n v="0"/>
    <n v="2"/>
    <n v="0"/>
    <n v="5"/>
    <n v="5"/>
    <n v="3"/>
    <n v="0"/>
    <n v="63813"/>
    <n v="1"/>
    <n v="19"/>
    <s v="Production Technician I"/>
    <s v="MA"/>
    <n v="2176"/>
    <d v="1983-05-21T00:00:00"/>
    <s v="F"/>
    <s v="Divorced"/>
    <s v="US Citizen"/>
    <s v="No"/>
    <s v="White"/>
    <d v="2011-02-21T00:00:00"/>
    <d v="2014-01-11T00:00:00"/>
    <s v="more money"/>
    <s v="Voluntarily Terminated"/>
    <x v="0"/>
    <s v="Kelley Spirea"/>
    <n v="18"/>
    <s v="CareerBuilder"/>
    <s v="Fully Meets"/>
    <n v="5"/>
    <n v="5"/>
    <n v="0"/>
    <d v="2013-06-03T00:00:00"/>
    <n v="0"/>
    <n v="17"/>
    <s v="MID"/>
    <s v="MID"/>
    <s v="MID"/>
  </r>
  <r>
    <s v="Gruber, Hans"/>
    <s v="Hans"/>
    <s v="Gruber"/>
    <n v="8"/>
    <s v="HIGH"/>
    <s v="Solid Performer"/>
    <x v="0"/>
    <n v="10234"/>
    <n v="1"/>
    <n v="1"/>
    <n v="1"/>
    <n v="1"/>
    <n v="3"/>
    <n v="3"/>
    <n v="0"/>
    <n v="99020"/>
    <n v="0"/>
    <n v="4"/>
    <s v="BI Developer"/>
    <s v="MA"/>
    <n v="2134"/>
    <d v="1989-06-30T00:00:00"/>
    <s v="M "/>
    <s v="Married"/>
    <s v="US Citizen"/>
    <s v="No"/>
    <s v="Black or African American"/>
    <d v="2017-04-20T00:00:00"/>
    <m/>
    <s v="N/A-StillEmployed"/>
    <s v="Active"/>
    <x v="1"/>
    <s v="Brian Champaigne"/>
    <n v="13"/>
    <s v="Indeed"/>
    <s v="Fully Meets"/>
    <n v="4.2"/>
    <n v="5"/>
    <n v="5"/>
    <d v="2019-01-28T00:00:00"/>
    <n v="0"/>
    <n v="8"/>
    <s v="HIGH"/>
    <s v="HIGH"/>
    <s v="HIGH"/>
  </r>
  <r>
    <s v="Guilianno, Mike"/>
    <s v="Mike"/>
    <s v="Guilianno"/>
    <n v="2"/>
    <s v="HIGH"/>
    <s v="Solid Performer"/>
    <x v="1"/>
    <n v="10109"/>
    <n v="0"/>
    <n v="0"/>
    <n v="1"/>
    <n v="5"/>
    <n v="6"/>
    <n v="3"/>
    <n v="0"/>
    <n v="71707"/>
    <n v="1"/>
    <n v="3"/>
    <s v="Area Sales Manager"/>
    <s v="TN"/>
    <n v="37129"/>
    <d v="1969-02-09T00:00:00"/>
    <s v="M "/>
    <s v="Single"/>
    <s v="US Citizen"/>
    <s v="No"/>
    <s v="Two or more races"/>
    <d v="2012-03-07T00:00:00"/>
    <d v="2014-10-31T00:00:00"/>
    <s v="relocation out of area"/>
    <s v="Voluntarily Terminated"/>
    <x v="4"/>
    <s v="John Smith"/>
    <n v="17"/>
    <s v="LinkedIn"/>
    <s v="Fully Meets"/>
    <n v="4.5"/>
    <n v="5"/>
    <n v="0"/>
    <d v="2013-02-01T00:00:00"/>
    <n v="0"/>
    <n v="20"/>
    <s v="HIGH"/>
    <s v="HIGH"/>
    <s v="HIGH"/>
  </r>
  <r>
    <s v="Handschiegl, Joanne"/>
    <s v="Joanne"/>
    <s v="Handschiegl"/>
    <n v="14"/>
    <s v="MID"/>
    <s v="Solid Performer"/>
    <x v="0"/>
    <n v="10125"/>
    <n v="1"/>
    <n v="1"/>
    <n v="0"/>
    <n v="1"/>
    <n v="5"/>
    <n v="3"/>
    <n v="0"/>
    <n v="54828"/>
    <n v="0"/>
    <n v="19"/>
    <s v="Production Technician I"/>
    <s v="MA"/>
    <n v="2127"/>
    <d v="1977-03-23T00:00:00"/>
    <s v="F"/>
    <s v="Married"/>
    <s v="US Citizen"/>
    <s v="No"/>
    <s v="White"/>
    <d v="2011-11-28T00:00:00"/>
    <m/>
    <s v="N/A-StillEmployed"/>
    <s v="Active"/>
    <x v="0"/>
    <s v="Michael Albert"/>
    <n v="22"/>
    <s v="Google Search"/>
    <s v="Fully Meets"/>
    <n v="4.2"/>
    <n v="4"/>
    <n v="0"/>
    <d v="2019-02-22T00:00:00"/>
    <n v="0"/>
    <n v="13"/>
    <s v="MID"/>
    <s v="MID"/>
    <s v="MID"/>
  </r>
  <r>
    <s v="Hankard, Earnest"/>
    <s v="Earnest"/>
    <s v="Hankard"/>
    <n v="12"/>
    <s v="MID"/>
    <s v="Solid Performer"/>
    <x v="0"/>
    <n v="10074"/>
    <n v="0"/>
    <n v="0"/>
    <n v="1"/>
    <n v="1"/>
    <n v="5"/>
    <n v="3"/>
    <n v="0"/>
    <n v="64246"/>
    <n v="0"/>
    <n v="20"/>
    <s v="Production Technician II"/>
    <s v="MA"/>
    <n v="2155"/>
    <d v="1988-08-10T00:00:00"/>
    <s v="M "/>
    <s v="Single"/>
    <s v="US Citizen"/>
    <s v="Yes"/>
    <s v="White"/>
    <d v="2013-11-11T00:00:00"/>
    <m/>
    <s v="N/A-StillEmployed"/>
    <s v="Active"/>
    <x v="0"/>
    <s v="Kelley Spirea"/>
    <n v="18"/>
    <s v="LinkedIn"/>
    <s v="Fully Meets"/>
    <n v="5"/>
    <n v="3"/>
    <n v="0"/>
    <d v="2019-01-08T00:00:00"/>
    <n v="0"/>
    <n v="20"/>
    <s v="MID"/>
    <s v="MID"/>
    <s v="MID"/>
  </r>
  <r>
    <s v="Harrington, Christie "/>
    <s v="Christie"/>
    <s v="Harrington"/>
    <n v="3"/>
    <s v="MID"/>
    <s v="Solid Performer"/>
    <x v="1"/>
    <n v="10097"/>
    <n v="0"/>
    <n v="0"/>
    <n v="0"/>
    <n v="5"/>
    <n v="5"/>
    <n v="3"/>
    <n v="0"/>
    <n v="52177"/>
    <n v="1"/>
    <n v="19"/>
    <s v="Production Technician I"/>
    <s v="MA"/>
    <n v="2324"/>
    <d v="1952-08-18T00:00:00"/>
    <s v="F"/>
    <s v="Single"/>
    <s v="US Citizen"/>
    <s v="No"/>
    <s v="White"/>
    <d v="2012-01-09T00:00:00"/>
    <d v="2015-12-15T00:00:00"/>
    <s v="retiring"/>
    <s v="Voluntarily Terminated"/>
    <x v="0"/>
    <s v="Webster Butler"/>
    <n v="39"/>
    <s v="CareerBuilder"/>
    <s v="Fully Meets"/>
    <n v="4.6399999999999997"/>
    <n v="4"/>
    <n v="0"/>
    <d v="2015-05-02T00:00:00"/>
    <n v="0"/>
    <n v="8"/>
    <s v="MID"/>
    <s v="MID"/>
    <s v="MID"/>
  </r>
  <r>
    <s v="Harrison, Kara"/>
    <s v="Kara"/>
    <s v="Harrison"/>
    <n v="11"/>
    <s v="MID"/>
    <s v="Top Performer"/>
    <x v="0"/>
    <n v="10007"/>
    <n v="1"/>
    <n v="1"/>
    <n v="0"/>
    <n v="1"/>
    <n v="5"/>
    <n v="4"/>
    <n v="0"/>
    <n v="62065"/>
    <n v="0"/>
    <n v="19"/>
    <s v="Production Technician I"/>
    <s v="MA"/>
    <n v="1886"/>
    <d v="1974-05-02T00:00:00"/>
    <s v="F"/>
    <s v="Married"/>
    <s v="US Citizen"/>
    <s v="No"/>
    <s v="White"/>
    <d v="2014-05-12T00:00:00"/>
    <m/>
    <s v="N/A-StillEmployed"/>
    <s v="Active"/>
    <x v="0"/>
    <s v="Amy Dunn"/>
    <n v="11"/>
    <s v="CareerBuilder"/>
    <s v="Exceeds"/>
    <n v="4.76"/>
    <n v="4"/>
    <n v="0"/>
    <d v="2019-02-15T00:00:00"/>
    <n v="0"/>
    <n v="5"/>
    <s v="MID"/>
    <s v="MID"/>
    <s v="MID"/>
  </r>
  <r>
    <s v="Heitzman, Anthony"/>
    <s v="Anthony"/>
    <s v="Heitzman"/>
    <n v="13"/>
    <s v="MID"/>
    <s v="Solid Performer"/>
    <x v="0"/>
    <n v="10129"/>
    <n v="0"/>
    <n v="0"/>
    <n v="1"/>
    <n v="1"/>
    <n v="5"/>
    <n v="3"/>
    <n v="0"/>
    <n v="46998"/>
    <n v="0"/>
    <n v="19"/>
    <s v="Production Technician I"/>
    <s v="MA"/>
    <n v="2149"/>
    <d v="1984-01-04T00:00:00"/>
    <s v="M "/>
    <s v="Single"/>
    <s v="US Citizen"/>
    <s v="No"/>
    <s v="White"/>
    <d v="2012-08-13T00:00:00"/>
    <m/>
    <s v="N/A-StillEmployed"/>
    <s v="Active"/>
    <x v="0"/>
    <s v="Ketsia Liebig"/>
    <n v="19"/>
    <s v="Google Search"/>
    <s v="Fully Meets"/>
    <n v="4.17"/>
    <n v="4"/>
    <n v="0"/>
    <d v="2019-02-11T00:00:00"/>
    <n v="0"/>
    <n v="1"/>
    <s v="MID"/>
    <s v="MID"/>
    <s v="MID"/>
  </r>
  <r>
    <s v="Hendrickson, Trina"/>
    <s v="Trina"/>
    <s v="Hendrickson"/>
    <n v="2"/>
    <s v="MID"/>
    <s v="Solid Performer"/>
    <x v="1"/>
    <n v="10075"/>
    <n v="0"/>
    <n v="0"/>
    <n v="0"/>
    <n v="5"/>
    <n v="5"/>
    <n v="3"/>
    <n v="0"/>
    <n v="68099"/>
    <n v="1"/>
    <n v="20"/>
    <s v="Production Technician II"/>
    <s v="MA"/>
    <n v="2021"/>
    <d v="1972-08-27T00:00:00"/>
    <s v="F"/>
    <s v="Single"/>
    <s v="US Citizen"/>
    <s v="No"/>
    <s v="White"/>
    <d v="2011-01-10T00:00:00"/>
    <d v="2013-06-18T00:00:00"/>
    <s v="hours"/>
    <s v="Voluntarily Terminated"/>
    <x v="0"/>
    <s v="Kelley Spirea"/>
    <n v="18"/>
    <s v="CareerBuilder"/>
    <s v="Fully Meets"/>
    <n v="5"/>
    <n v="3"/>
    <n v="0"/>
    <d v="2013-01-30T00:00:00"/>
    <n v="0"/>
    <n v="15"/>
    <s v="MID"/>
    <s v="MID"/>
    <s v="MID"/>
  </r>
  <r>
    <s v="Hitchcock, Alfred"/>
    <s v="Alfred"/>
    <s v="Hitchcock"/>
    <n v="11"/>
    <s v="HIGH"/>
    <s v="Solid Performer"/>
    <x v="0"/>
    <n v="10167"/>
    <n v="1"/>
    <n v="1"/>
    <n v="1"/>
    <n v="1"/>
    <n v="6"/>
    <n v="3"/>
    <n v="0"/>
    <n v="70545"/>
    <n v="0"/>
    <n v="3"/>
    <s v="Area Sales Manager"/>
    <s v="NH"/>
    <n v="3062"/>
    <d v="1988-09-14T00:00:00"/>
    <s v="M "/>
    <s v="Married"/>
    <s v="US Citizen"/>
    <s v="No"/>
    <s v="American Indian or Alaska Native"/>
    <d v="2014-08-18T00:00:00"/>
    <m/>
    <s v="N/A-StillEmployed"/>
    <s v="Active"/>
    <x v="4"/>
    <s v="John Smith"/>
    <n v="17"/>
    <s v="Indeed"/>
    <s v="Fully Meets"/>
    <n v="3.6"/>
    <n v="5"/>
    <n v="0"/>
    <d v="2019-01-30T00:00:00"/>
    <n v="0"/>
    <n v="9"/>
    <s v="HIGH"/>
    <s v="HIGH"/>
    <s v="HIGH"/>
  </r>
  <r>
    <s v="Homberger, Adrienne  J"/>
    <s v="Adrienne J"/>
    <s v="Homberger"/>
    <n v="0"/>
    <s v="MID"/>
    <s v="Solid Performer"/>
    <x v="1"/>
    <n v="10195"/>
    <n v="1"/>
    <n v="1"/>
    <n v="0"/>
    <n v="5"/>
    <n v="5"/>
    <n v="3"/>
    <n v="0"/>
    <n v="63478"/>
    <n v="1"/>
    <n v="20"/>
    <s v="Production Technician II"/>
    <s v="MA"/>
    <n v="2445"/>
    <d v="1984-02-16T00:00:00"/>
    <s v="F"/>
    <s v="Married"/>
    <s v="Non-Citizen"/>
    <s v="No"/>
    <s v="White"/>
    <d v="2011-08-15T00:00:00"/>
    <d v="2012-04-07T00:00:00"/>
    <s v="relocation out of area"/>
    <s v="Voluntarily Terminated"/>
    <x v="0"/>
    <s v="Michael Albert"/>
    <n v="30"/>
    <s v="Indeed"/>
    <s v="Fully Meets"/>
    <n v="3.03"/>
    <n v="5"/>
    <n v="0"/>
    <d v="2012-03-05T00:00:00"/>
    <n v="0"/>
    <n v="16"/>
    <s v="MID"/>
    <s v="MID"/>
    <s v="MID"/>
  </r>
  <r>
    <s v="Horton, Jayne"/>
    <s v="Jayne"/>
    <s v="Horton"/>
    <n v="11"/>
    <s v="HIGH"/>
    <s v="Solid Performer"/>
    <x v="0"/>
    <n v="10112"/>
    <n v="0"/>
    <n v="0"/>
    <n v="0"/>
    <n v="1"/>
    <n v="3"/>
    <n v="3"/>
    <n v="0"/>
    <n v="97999"/>
    <n v="0"/>
    <n v="8"/>
    <s v="Database Administrator"/>
    <s v="MA"/>
    <n v="2493"/>
    <d v="1984-02-21T00:00:00"/>
    <s v="F"/>
    <s v="Single"/>
    <s v="US Citizen"/>
    <s v="No"/>
    <s v="White"/>
    <d v="2015-03-30T00:00:00"/>
    <m/>
    <s v="N/A-StillEmployed"/>
    <s v="Active"/>
    <x v="1"/>
    <s v="Simon Roup"/>
    <n v="4"/>
    <s v="Indeed"/>
    <s v="Fully Meets"/>
    <n v="4.4800000000000004"/>
    <n v="5"/>
    <n v="6"/>
    <d v="2019-01-03T00:00:00"/>
    <n v="0"/>
    <n v="4"/>
    <s v="HIGH"/>
    <s v="HIGH"/>
    <s v="HIGH"/>
  </r>
  <r>
    <s v="Houlihan, Debra"/>
    <s v="Debra"/>
    <s v="Houlihan"/>
    <n v="11"/>
    <s v="Executive"/>
    <s v="Solid Performer"/>
    <x v="0"/>
    <n v="10272"/>
    <n v="1"/>
    <n v="1"/>
    <n v="0"/>
    <n v="1"/>
    <n v="6"/>
    <n v="3"/>
    <n v="0"/>
    <n v="180000"/>
    <n v="0"/>
    <n v="11"/>
    <s v="Director of Sales"/>
    <s v="RI"/>
    <n v="2908"/>
    <d v="1966-03-17T00:00:00"/>
    <s v="F"/>
    <s v="Married"/>
    <s v="US Citizen"/>
    <s v="No"/>
    <s v="White"/>
    <d v="2014-05-05T00:00:00"/>
    <m/>
    <s v="N/A-StillEmployed"/>
    <s v="Active"/>
    <x v="4"/>
    <s v="Janet King"/>
    <n v="2"/>
    <s v="LinkedIn"/>
    <s v="Fully Meets"/>
    <n v="4.5"/>
    <n v="4"/>
    <n v="0"/>
    <d v="2019-01-21T00:00:00"/>
    <n v="0"/>
    <n v="19"/>
    <s v="Executive"/>
    <s v="Executive"/>
    <s v="Executive"/>
  </r>
  <r>
    <s v="Howard, Estelle"/>
    <s v="Estelle"/>
    <s v="Howard"/>
    <n v="0"/>
    <s v="MID"/>
    <s v="Solid Performer"/>
    <x v="2"/>
    <n v="10182"/>
    <n v="1"/>
    <n v="1"/>
    <n v="0"/>
    <n v="1"/>
    <n v="1"/>
    <n v="3"/>
    <n v="0"/>
    <n v="49920"/>
    <n v="1"/>
    <n v="2"/>
    <s v="Administrative Assistant"/>
    <s v="MA"/>
    <n v="2170"/>
    <d v="1985-09-16T00:00:00"/>
    <s v="F"/>
    <s v="Married"/>
    <s v="US Citizen"/>
    <s v="No"/>
    <s v="Black or African American"/>
    <d v="2015-02-16T00:00:00"/>
    <d v="2015-04-15T00:00:00"/>
    <s v="no-call, no-show"/>
    <s v="Terminated for Cause"/>
    <x v="3"/>
    <s v="Brandon R. LeBlanc"/>
    <n v="1"/>
    <s v="Indeed"/>
    <s v="Fully Meets"/>
    <n v="3.24"/>
    <n v="3"/>
    <n v="4"/>
    <d v="2015-04-15T00:00:00"/>
    <n v="0"/>
    <n v="6"/>
    <s v="MID"/>
    <s v="MID"/>
    <s v="MID"/>
  </r>
  <r>
    <s v="Hudson, Jane"/>
    <s v="Jane"/>
    <s v="Hudson"/>
    <n v="14"/>
    <s v="MID"/>
    <s v="Solid Performer"/>
    <x v="0"/>
    <n v="10248"/>
    <n v="0"/>
    <n v="0"/>
    <n v="0"/>
    <n v="1"/>
    <n v="5"/>
    <n v="3"/>
    <n v="0"/>
    <n v="55425"/>
    <n v="0"/>
    <n v="19"/>
    <s v="Production Technician I"/>
    <s v="MA"/>
    <n v="2176"/>
    <d v="1986-06-10T00:00:00"/>
    <s v="F"/>
    <s v="Single"/>
    <s v="US Citizen"/>
    <s v="No"/>
    <s v="White"/>
    <d v="2012-02-20T00:00:00"/>
    <m/>
    <s v="N/A-StillEmployed"/>
    <s v="Active"/>
    <x v="0"/>
    <s v="Ketsia Liebig"/>
    <n v="19"/>
    <s v="LinkedIn"/>
    <s v="Fully Meets"/>
    <n v="4.8"/>
    <n v="4"/>
    <n v="0"/>
    <d v="2019-01-07T00:00:00"/>
    <n v="0"/>
    <n v="4"/>
    <s v="MID"/>
    <s v="MID"/>
    <s v="MID"/>
  </r>
  <r>
    <s v="Hunts, Julissa"/>
    <s v="Julissa"/>
    <s v="Hunts"/>
    <n v="9"/>
    <s v="MID"/>
    <s v="Solid Performer"/>
    <x v="0"/>
    <n v="10201"/>
    <n v="0"/>
    <n v="0"/>
    <n v="0"/>
    <n v="2"/>
    <n v="5"/>
    <n v="3"/>
    <n v="0"/>
    <n v="69340"/>
    <n v="0"/>
    <n v="20"/>
    <s v="Production Technician II"/>
    <s v="MA"/>
    <n v="2021"/>
    <d v="1984-03-11T00:00:00"/>
    <s v="F"/>
    <s v="Single"/>
    <s v="US Citizen"/>
    <s v="No"/>
    <s v="White"/>
    <d v="2016-06-06T00:00:00"/>
    <m/>
    <s v="N/A-StillEmployed"/>
    <s v="Active"/>
    <x v="0"/>
    <s v="Elijiah Gray"/>
    <n v="16"/>
    <s v="LinkedIn"/>
    <s v="Fully Meets"/>
    <n v="3"/>
    <n v="5"/>
    <n v="0"/>
    <d v="2019-01-18T00:00:00"/>
    <n v="0"/>
    <n v="4"/>
    <s v="MID"/>
    <s v="MID"/>
    <s v="MID"/>
  </r>
  <r>
    <s v="Hutter, Rosalie"/>
    <s v="Rosalie"/>
    <s v="Hutter"/>
    <n v="10"/>
    <s v="MID"/>
    <s v="Solid Performer"/>
    <x v="0"/>
    <n v="10214"/>
    <n v="0"/>
    <n v="3"/>
    <n v="0"/>
    <n v="2"/>
    <n v="5"/>
    <n v="3"/>
    <n v="0"/>
    <n v="64995"/>
    <n v="0"/>
    <n v="20"/>
    <s v="Production Technician II"/>
    <s v="MA"/>
    <n v="2351"/>
    <d v="1992-05-07T00:00:00"/>
    <s v="F"/>
    <s v="Separated"/>
    <s v="US Citizen"/>
    <s v="No"/>
    <s v="White"/>
    <d v="2015-06-05T00:00:00"/>
    <m/>
    <s v="N/A-StillEmployed"/>
    <s v="Active"/>
    <x v="0"/>
    <s v="Webster Butler"/>
    <m/>
    <s v="Indeed"/>
    <s v="Fully Meets"/>
    <n v="4.5"/>
    <n v="3"/>
    <n v="0"/>
    <d v="2019-02-14T00:00:00"/>
    <n v="0"/>
    <n v="6"/>
    <s v="MID"/>
    <s v="MID"/>
    <s v="MID"/>
  </r>
  <r>
    <s v="Huynh, Ming"/>
    <s v="Ming"/>
    <s v="Huynh"/>
    <n v="2"/>
    <s v="MID"/>
    <s v="Solid Performer"/>
    <x v="1"/>
    <n v="10160"/>
    <n v="0"/>
    <n v="2"/>
    <n v="0"/>
    <n v="5"/>
    <n v="5"/>
    <n v="3"/>
    <n v="0"/>
    <n v="68182"/>
    <n v="1"/>
    <n v="20"/>
    <s v="Production Technician II"/>
    <s v="MA"/>
    <n v="1742"/>
    <d v="1976-09-22T00:00:00"/>
    <s v="F"/>
    <s v="Divorced"/>
    <s v="US Citizen"/>
    <s v="No"/>
    <s v="White"/>
    <d v="2011-02-21T00:00:00"/>
    <d v="2013-04-01T00:00:00"/>
    <s v="unhappy"/>
    <s v="Voluntarily Terminated"/>
    <x v="0"/>
    <s v="Amy Dunn"/>
    <n v="11"/>
    <s v="Google Search"/>
    <s v="Fully Meets"/>
    <n v="3.72"/>
    <n v="3"/>
    <n v="0"/>
    <d v="2013-02-01T00:00:00"/>
    <n v="0"/>
    <n v="18"/>
    <s v="MID"/>
    <s v="MID"/>
    <s v="MID"/>
  </r>
  <r>
    <s v="Immediato, Walter"/>
    <s v="Walter"/>
    <s v="Immediato"/>
    <n v="1"/>
    <s v="HIGH"/>
    <s v="Underperformer"/>
    <x v="1"/>
    <n v="10289"/>
    <n v="1"/>
    <n v="1"/>
    <n v="1"/>
    <n v="5"/>
    <n v="5"/>
    <n v="2"/>
    <n v="0"/>
    <n v="83082"/>
    <n v="1"/>
    <n v="18"/>
    <s v="Production Manager"/>
    <s v="MA"/>
    <n v="2128"/>
    <d v="1976-11-15T00:00:00"/>
    <s v="M "/>
    <s v="Married"/>
    <s v="US Citizen"/>
    <s v="No"/>
    <s v="Asian"/>
    <d v="2011-02-21T00:00:00"/>
    <d v="2012-09-24T00:00:00"/>
    <s v="unhappy"/>
    <s v="Voluntarily Terminated"/>
    <x v="0"/>
    <s v="Janet King"/>
    <n v="2"/>
    <s v="Indeed"/>
    <s v="Needs Improvement"/>
    <n v="2.34"/>
    <n v="2"/>
    <n v="0"/>
    <d v="2012-04-12T00:00:00"/>
    <n v="3"/>
    <n v="4"/>
    <s v="HIGH"/>
    <s v="HIGH"/>
    <s v="HIGH"/>
  </r>
  <r>
    <s v="Ivey, Rose "/>
    <s v="Rose"/>
    <s v="Ivey"/>
    <n v="12"/>
    <s v="MID"/>
    <s v="Solid Performer"/>
    <x v="0"/>
    <n v="10139"/>
    <n v="0"/>
    <n v="0"/>
    <n v="0"/>
    <n v="1"/>
    <n v="5"/>
    <n v="3"/>
    <n v="0"/>
    <n v="51908"/>
    <n v="0"/>
    <n v="19"/>
    <s v="Production Technician I"/>
    <s v="MA"/>
    <n v="1775"/>
    <d v="1991-01-28T00:00:00"/>
    <s v="F"/>
    <s v="Single"/>
    <s v="US Citizen"/>
    <s v="No"/>
    <s v="White"/>
    <d v="2013-08-19T00:00:00"/>
    <m/>
    <s v="N/A-StillEmployed"/>
    <s v="Active"/>
    <x v="0"/>
    <s v="Brannon Miller"/>
    <n v="12"/>
    <s v="Indeed"/>
    <s v="Fully Meets"/>
    <n v="3.99"/>
    <n v="3"/>
    <n v="0"/>
    <d v="2019-01-14T00:00:00"/>
    <n v="0"/>
    <n v="14"/>
    <s v="MID"/>
    <s v="MID"/>
    <s v="MID"/>
  </r>
  <r>
    <s v="Jackson, Maryellen"/>
    <s v="Maryellen"/>
    <s v="Jackson"/>
    <n v="13"/>
    <s v="MID"/>
    <s v="Solid Performer"/>
    <x v="0"/>
    <n v="10227"/>
    <n v="0"/>
    <n v="0"/>
    <n v="0"/>
    <n v="1"/>
    <n v="5"/>
    <n v="3"/>
    <n v="0"/>
    <n v="61242"/>
    <n v="0"/>
    <n v="19"/>
    <s v="Production Technician I"/>
    <s v="MA"/>
    <n v="2081"/>
    <d v="1972-09-11T00:00:00"/>
    <s v="F"/>
    <s v="Single"/>
    <s v="US Citizen"/>
    <s v="No"/>
    <s v="Black or African American"/>
    <d v="2012-11-05T00:00:00"/>
    <m/>
    <s v="N/A-StillEmployed"/>
    <s v="Active"/>
    <x v="0"/>
    <s v="David Stanley"/>
    <n v="14"/>
    <s v="LinkedIn"/>
    <s v="Fully Meets"/>
    <n v="4.0999999999999996"/>
    <n v="3"/>
    <n v="0"/>
    <d v="2019-01-17T00:00:00"/>
    <n v="0"/>
    <n v="7"/>
    <s v="MID"/>
    <s v="MID"/>
    <s v="MID"/>
  </r>
  <r>
    <s v="Jacobi, Hannah  "/>
    <s v="Hannah"/>
    <s v="Jacobi"/>
    <n v="12"/>
    <s v="MID"/>
    <s v="Solid Performer"/>
    <x v="0"/>
    <n v="10236"/>
    <n v="0"/>
    <n v="2"/>
    <n v="0"/>
    <n v="1"/>
    <n v="5"/>
    <n v="3"/>
    <n v="0"/>
    <n v="45069"/>
    <n v="0"/>
    <n v="19"/>
    <s v="Production Technician I"/>
    <s v="MA"/>
    <n v="1778"/>
    <d v="1966-03-22T00:00:00"/>
    <s v="F"/>
    <s v="Divorced"/>
    <s v="US Citizen"/>
    <s v="No"/>
    <s v="White"/>
    <d v="2013-09-30T00:00:00"/>
    <m/>
    <s v="N/A-StillEmployed"/>
    <s v="Active"/>
    <x v="0"/>
    <s v="Kissy Sullivan"/>
    <n v="20"/>
    <s v="Employee Referral"/>
    <s v="Fully Meets"/>
    <n v="4.3"/>
    <n v="5"/>
    <n v="0"/>
    <d v="2019-02-22T00:00:00"/>
    <n v="0"/>
    <n v="7"/>
    <s v="MID"/>
    <s v="MID"/>
    <s v="MID"/>
  </r>
  <r>
    <s v="Jeannite, Tayana"/>
    <s v="Tayana"/>
    <s v="Jeannite"/>
    <n v="14"/>
    <s v="MID"/>
    <s v="Top Performer"/>
    <x v="0"/>
    <n v="10009"/>
    <n v="0"/>
    <n v="2"/>
    <n v="0"/>
    <n v="1"/>
    <n v="5"/>
    <n v="4"/>
    <n v="0"/>
    <n v="60724"/>
    <n v="0"/>
    <n v="20"/>
    <s v="Production Technician II"/>
    <s v="MA"/>
    <n v="1821"/>
    <d v="1986-11-06T00:00:00"/>
    <s v="F"/>
    <s v="Divorced"/>
    <s v="US Citizen"/>
    <s v="No"/>
    <s v="American Indian or Alaska Native"/>
    <d v="2011-07-05T00:00:00"/>
    <m/>
    <s v="N/A-StillEmployed"/>
    <s v="Active"/>
    <x v="0"/>
    <s v="Ketsia Liebig"/>
    <n v="19"/>
    <s v="LinkedIn"/>
    <s v="Exceeds"/>
    <n v="4.5999999999999996"/>
    <n v="4"/>
    <n v="0"/>
    <d v="2019-02-25T00:00:00"/>
    <n v="0"/>
    <n v="11"/>
    <s v="MID"/>
    <s v="MID"/>
    <s v="MID"/>
  </r>
  <r>
    <s v="Jhaveri, Sneha  "/>
    <s v="Sneha"/>
    <s v="Jhaveri"/>
    <n v="12"/>
    <s v="MID"/>
    <s v="Solid Performer"/>
    <x v="0"/>
    <n v="10060"/>
    <n v="0"/>
    <n v="3"/>
    <n v="0"/>
    <n v="1"/>
    <n v="5"/>
    <n v="3"/>
    <n v="0"/>
    <n v="60436"/>
    <n v="0"/>
    <n v="19"/>
    <s v="Production Technician I"/>
    <s v="MA"/>
    <n v="2109"/>
    <d v="1964-04-13T00:00:00"/>
    <s v="F"/>
    <s v="Separated"/>
    <s v="US Citizen"/>
    <s v="No"/>
    <s v="White"/>
    <d v="2014-01-06T00:00:00"/>
    <m/>
    <s v="N/A-StillEmployed"/>
    <s v="Active"/>
    <x v="0"/>
    <s v="Kelley Spirea"/>
    <n v="18"/>
    <s v="LinkedIn"/>
    <s v="Fully Meets"/>
    <n v="5"/>
    <n v="5"/>
    <n v="0"/>
    <d v="2019-01-21T00:00:00"/>
    <n v="0"/>
    <n v="9"/>
    <s v="MID"/>
    <s v="MID"/>
    <s v="MID"/>
  </r>
  <r>
    <s v="Johnson, George"/>
    <s v="George"/>
    <s v="Johnson"/>
    <n v="6"/>
    <s v="MID"/>
    <s v="Top Performer"/>
    <x v="1"/>
    <n v="10034"/>
    <n v="1"/>
    <n v="1"/>
    <n v="1"/>
    <n v="5"/>
    <n v="5"/>
    <n v="4"/>
    <n v="0"/>
    <n v="46837"/>
    <n v="1"/>
    <n v="19"/>
    <s v="Production Technician I"/>
    <s v="MA"/>
    <n v="2445"/>
    <d v="1959-08-19T00:00:00"/>
    <s v="M "/>
    <s v="Married"/>
    <s v="US Citizen"/>
    <s v="No"/>
    <s v="White"/>
    <d v="2011-11-07T00:00:00"/>
    <d v="2018-04-29T00:00:00"/>
    <s v="more money"/>
    <s v="Voluntarily Terminated"/>
    <x v="0"/>
    <s v="Michael Albert"/>
    <n v="22"/>
    <s v="CareerBuilder"/>
    <s v="Exceeds"/>
    <n v="4.7"/>
    <n v="4"/>
    <n v="0"/>
    <d v="2018-02-14T00:00:00"/>
    <n v="0"/>
    <n v="9"/>
    <s v="MID"/>
    <s v="MID"/>
    <s v="MID"/>
  </r>
  <r>
    <s v="Johnson, Noelle "/>
    <s v="Noelle"/>
    <s v="Johnson"/>
    <n v="11"/>
    <s v="Executive"/>
    <s v="Solid Performer"/>
    <x v="0"/>
    <n v="10156"/>
    <n v="1"/>
    <n v="1"/>
    <n v="0"/>
    <n v="3"/>
    <n v="3"/>
    <n v="3"/>
    <n v="0"/>
    <n v="105700"/>
    <n v="0"/>
    <n v="8"/>
    <s v="Database Administrator"/>
    <s v="MA"/>
    <n v="2301"/>
    <d v="1986-11-07T00:00:00"/>
    <s v="F"/>
    <s v="Married"/>
    <s v="US Citizen"/>
    <s v="No"/>
    <s v="Asian"/>
    <d v="2015-01-05T00:00:00"/>
    <m/>
    <s v="N/A-StillEmployed"/>
    <s v="Active"/>
    <x v="1"/>
    <s v="Simon Roup"/>
    <n v="4"/>
    <s v="Indeed"/>
    <s v="Fully Meets"/>
    <n v="3.75"/>
    <n v="3"/>
    <n v="5"/>
    <d v="2019-02-11T00:00:00"/>
    <n v="0"/>
    <n v="2"/>
    <s v="Executive"/>
    <s v="Executive"/>
    <s v="Executive"/>
  </r>
  <r>
    <s v="Johnston, Yen"/>
    <s v="Yen"/>
    <s v="Johnston"/>
    <n v="11"/>
    <s v="MID"/>
    <s v="Top Performer"/>
    <x v="0"/>
    <n v="10036"/>
    <n v="0"/>
    <n v="0"/>
    <n v="0"/>
    <n v="1"/>
    <n v="5"/>
    <n v="4"/>
    <n v="0"/>
    <n v="63322"/>
    <n v="0"/>
    <n v="20"/>
    <s v="Production Technician II"/>
    <s v="MA"/>
    <n v="2128"/>
    <d v="1969-09-08T00:00:00"/>
    <s v="F"/>
    <s v="Single"/>
    <s v="US Citizen"/>
    <s v="No"/>
    <s v="White"/>
    <d v="2014-07-07T00:00:00"/>
    <m/>
    <s v="N/A-StillEmployed"/>
    <s v="Active"/>
    <x v="0"/>
    <s v="Brannon Miller"/>
    <n v="12"/>
    <s v="LinkedIn"/>
    <s v="Exceeds"/>
    <n v="4.3"/>
    <n v="3"/>
    <n v="0"/>
    <d v="2019-01-11T00:00:00"/>
    <n v="0"/>
    <n v="1"/>
    <s v="MID"/>
    <s v="MID"/>
    <s v="MID"/>
  </r>
  <r>
    <s v="Jung, Judy  "/>
    <s v="Judy"/>
    <s v="Jung"/>
    <n v="5"/>
    <s v="MID"/>
    <s v="Solid Performer"/>
    <x v="1"/>
    <n v="10138"/>
    <n v="1"/>
    <n v="1"/>
    <n v="0"/>
    <n v="5"/>
    <n v="5"/>
    <n v="3"/>
    <n v="0"/>
    <n v="61154"/>
    <n v="1"/>
    <n v="19"/>
    <s v="Production Technician I"/>
    <s v="MA"/>
    <n v="2446"/>
    <d v="1986-04-17T00:00:00"/>
    <s v="F"/>
    <s v="Married"/>
    <s v="US Citizen"/>
    <s v="No"/>
    <s v="Black or African American"/>
    <d v="2011-01-10T00:00:00"/>
    <d v="2016-04-01T00:00:00"/>
    <s v="unhappy"/>
    <s v="Voluntarily Terminated"/>
    <x v="0"/>
    <s v="Elijiah Gray"/>
    <n v="16"/>
    <s v="CareerBuilder"/>
    <s v="Fully Meets"/>
    <n v="4"/>
    <n v="4"/>
    <n v="0"/>
    <d v="2016-02-03T00:00:00"/>
    <n v="0"/>
    <n v="4"/>
    <s v="MID"/>
    <s v="MID"/>
    <s v="MID"/>
  </r>
  <r>
    <s v="Kampew, Donysha"/>
    <s v="Donysha"/>
    <s v="Kampew"/>
    <n v="2"/>
    <s v="MID"/>
    <s v="Solid Performer"/>
    <x v="1"/>
    <n v="10244"/>
    <n v="0"/>
    <n v="0"/>
    <n v="0"/>
    <n v="5"/>
    <n v="6"/>
    <n v="3"/>
    <n v="0"/>
    <n v="68999"/>
    <n v="1"/>
    <n v="21"/>
    <s v="Sales Manager"/>
    <s v="PA"/>
    <n v="19444"/>
    <d v="1989-11-11T00:00:00"/>
    <s v="F"/>
    <s v="Single"/>
    <s v="US Citizen"/>
    <s v="No"/>
    <s v="White"/>
    <d v="2011-11-07T00:00:00"/>
    <d v="2014-04-24T00:00:00"/>
    <s v="maternity leave - did not return"/>
    <s v="Voluntarily Terminated"/>
    <x v="4"/>
    <s v="Debra Houlihan"/>
    <n v="15"/>
    <s v="Google Search"/>
    <s v="Fully Meets"/>
    <n v="4.5"/>
    <n v="5"/>
    <n v="0"/>
    <d v="2013-03-30T00:00:00"/>
    <n v="0"/>
    <n v="2"/>
    <s v="MID"/>
    <s v="MID"/>
    <s v="MID"/>
  </r>
  <r>
    <s v="Keatts, Kramer "/>
    <s v="Kramer"/>
    <s v="Keatts"/>
    <n v="12"/>
    <s v="MID"/>
    <s v="Solid Performer"/>
    <x v="0"/>
    <n v="10192"/>
    <n v="0"/>
    <n v="0"/>
    <n v="1"/>
    <n v="1"/>
    <n v="5"/>
    <n v="3"/>
    <n v="0"/>
    <n v="50482"/>
    <n v="0"/>
    <n v="19"/>
    <s v="Production Technician I"/>
    <s v="MA"/>
    <n v="1887"/>
    <d v="1976-01-19T00:00:00"/>
    <s v="M "/>
    <s v="Single"/>
    <s v="US Citizen"/>
    <s v="No"/>
    <s v="White"/>
    <d v="2013-09-30T00:00:00"/>
    <m/>
    <s v="N/A-StillEmployed"/>
    <s v="Active"/>
    <x v="0"/>
    <s v="Michael Albert"/>
    <n v="22"/>
    <s v="Indeed"/>
    <s v="Fully Meets"/>
    <n v="3.07"/>
    <n v="4"/>
    <n v="0"/>
    <d v="2019-01-23T00:00:00"/>
    <n v="0"/>
    <n v="10"/>
    <s v="MID"/>
    <s v="MID"/>
    <s v="MID"/>
  </r>
  <r>
    <s v="Khemmich, Bartholemew"/>
    <s v="Bartholemew"/>
    <s v="Khemmich"/>
    <n v="12"/>
    <s v="MID"/>
    <s v="Solid Performer"/>
    <x v="0"/>
    <n v="10231"/>
    <n v="0"/>
    <n v="0"/>
    <n v="1"/>
    <n v="1"/>
    <n v="6"/>
    <n v="3"/>
    <n v="0"/>
    <n v="65310"/>
    <n v="0"/>
    <n v="3"/>
    <s v="Area Sales Manager"/>
    <s v="CO"/>
    <n v="80820"/>
    <d v="1979-11-27T00:00:00"/>
    <s v="M "/>
    <s v="Single"/>
    <s v="US Citizen"/>
    <s v="No"/>
    <s v="White"/>
    <d v="2013-08-19T00:00:00"/>
    <m/>
    <s v="N/A-StillEmployed"/>
    <s v="Active"/>
    <x v="4"/>
    <s v="Lynn Daneault"/>
    <n v="21"/>
    <s v="Indeed"/>
    <s v="Fully Meets"/>
    <n v="4.3"/>
    <n v="5"/>
    <n v="0"/>
    <d v="2019-01-22T00:00:00"/>
    <n v="0"/>
    <n v="13"/>
    <s v="MID"/>
    <s v="MID"/>
    <s v="MID"/>
  </r>
  <r>
    <s v="King, Janet"/>
    <s v="Janet"/>
    <s v="King"/>
    <n v="13"/>
    <s v="Executive"/>
    <s v="Solid Performer"/>
    <x v="0"/>
    <n v="10089"/>
    <n v="1"/>
    <n v="1"/>
    <n v="0"/>
    <n v="1"/>
    <n v="2"/>
    <n v="3"/>
    <n v="0"/>
    <n v="250000"/>
    <n v="0"/>
    <n v="16"/>
    <s v="President &amp; CEO"/>
    <s v="MA"/>
    <n v="1902"/>
    <d v="1954-09-21T00:00:00"/>
    <s v="F"/>
    <s v="Married"/>
    <s v="US Citizen"/>
    <s v="Yes"/>
    <s v="White"/>
    <d v="2012-07-02T00:00:00"/>
    <m/>
    <s v="N/A-StillEmployed"/>
    <s v="Active"/>
    <x v="5"/>
    <s v="Board of Directors"/>
    <n v="9"/>
    <s v="Indeed"/>
    <s v="Fully Meets"/>
    <n v="4.83"/>
    <n v="3"/>
    <n v="0"/>
    <d v="2019-01-17T00:00:00"/>
    <n v="0"/>
    <n v="10"/>
    <s v="Executive"/>
    <s v="Executive"/>
    <s v="Executive"/>
  </r>
  <r>
    <s v="Kinsella, Kathleen  "/>
    <s v="Kathleen"/>
    <s v="Kinsella"/>
    <n v="3"/>
    <s v="MID"/>
    <s v="Solid Performer"/>
    <x v="1"/>
    <n v="10166"/>
    <n v="1"/>
    <n v="1"/>
    <n v="0"/>
    <n v="5"/>
    <n v="5"/>
    <n v="3"/>
    <n v="0"/>
    <n v="54005"/>
    <n v="1"/>
    <n v="19"/>
    <s v="Production Technician I"/>
    <s v="MA"/>
    <n v="2170"/>
    <d v="1973-12-08T00:00:00"/>
    <s v="F"/>
    <s v="Married"/>
    <s v="US Citizen"/>
    <s v="No"/>
    <s v="White"/>
    <d v="2011-09-26T00:00:00"/>
    <d v="2015-06-04T00:00:00"/>
    <s v="more money"/>
    <s v="Voluntarily Terminated"/>
    <x v="0"/>
    <s v="Webster Butler"/>
    <n v="39"/>
    <s v="Google Search"/>
    <s v="Fully Meets"/>
    <n v="3.6"/>
    <n v="5"/>
    <n v="0"/>
    <d v="2015-03-01T00:00:00"/>
    <n v="0"/>
    <n v="16"/>
    <s v="MID"/>
    <s v="MID"/>
    <s v="MID"/>
  </r>
  <r>
    <s v="Kirill, Alexandra  "/>
    <s v="Alexandra"/>
    <s v="Kirill"/>
    <n v="2"/>
    <s v="MID"/>
    <s v="Solid Performer"/>
    <x v="1"/>
    <n v="10170"/>
    <n v="1"/>
    <n v="1"/>
    <n v="0"/>
    <n v="5"/>
    <n v="5"/>
    <n v="3"/>
    <n v="0"/>
    <n v="45433"/>
    <n v="1"/>
    <n v="19"/>
    <s v="Production Technician I"/>
    <s v="MA"/>
    <n v="2127"/>
    <d v="1970-10-08T00:00:00"/>
    <s v="F"/>
    <s v="Married"/>
    <s v="US Citizen"/>
    <s v="No"/>
    <s v="White"/>
    <d v="2011-09-26T00:00:00"/>
    <d v="2014-01-09T00:00:00"/>
    <s v="more money"/>
    <s v="Voluntarily Terminated"/>
    <x v="0"/>
    <s v="Amy Dunn"/>
    <n v="11"/>
    <s v="Google Search"/>
    <s v="Fully Meets"/>
    <n v="3.49"/>
    <n v="4"/>
    <n v="0"/>
    <d v="2013-01-30T00:00:00"/>
    <n v="0"/>
    <n v="6"/>
    <s v="MID"/>
    <s v="MID"/>
    <s v="MID"/>
  </r>
  <r>
    <s v="Knapp, Bradley  J"/>
    <s v="Bradley J"/>
    <s v="Knapp"/>
    <n v="12"/>
    <s v="MID"/>
    <s v="Solid Performer"/>
    <x v="0"/>
    <n v="10208"/>
    <n v="0"/>
    <n v="0"/>
    <n v="1"/>
    <n v="1"/>
    <n v="5"/>
    <n v="3"/>
    <n v="0"/>
    <n v="46654"/>
    <n v="0"/>
    <n v="19"/>
    <s v="Production Technician I"/>
    <s v="MA"/>
    <n v="1721"/>
    <d v="1977-11-10T00:00:00"/>
    <s v="M "/>
    <s v="Single"/>
    <s v="US Citizen"/>
    <s v="No"/>
    <s v="Black or African American"/>
    <d v="2014-02-17T00:00:00"/>
    <m/>
    <s v="N/A-StillEmployed"/>
    <s v="Active"/>
    <x v="0"/>
    <s v="Ketsia Liebig"/>
    <n v="19"/>
    <s v="LinkedIn"/>
    <s v="Fully Meets"/>
    <n v="3.1"/>
    <n v="3"/>
    <n v="0"/>
    <d v="2019-02-06T00:00:00"/>
    <n v="0"/>
    <n v="3"/>
    <s v="MID"/>
    <s v="MID"/>
    <s v="MID"/>
  </r>
  <r>
    <s v="Kretschmer, John"/>
    <s v="John"/>
    <s v="Kretschmer"/>
    <n v="15"/>
    <s v="MID"/>
    <s v="Solid Performer"/>
    <x v="0"/>
    <n v="10176"/>
    <n v="1"/>
    <n v="1"/>
    <n v="1"/>
    <n v="1"/>
    <n v="5"/>
    <n v="3"/>
    <n v="0"/>
    <n v="63973"/>
    <n v="0"/>
    <n v="19"/>
    <s v="Production Technician I"/>
    <s v="MA"/>
    <n v="1801"/>
    <d v="1980-02-02T00:00:00"/>
    <s v="M "/>
    <s v="Married"/>
    <s v="US Citizen"/>
    <s v="No"/>
    <s v="Asian"/>
    <d v="2011-01-10T00:00:00"/>
    <m/>
    <s v="N/A-StillEmployed"/>
    <s v="Active"/>
    <x v="0"/>
    <s v="Brannon Miller"/>
    <n v="12"/>
    <s v="Indeed"/>
    <s v="Fully Meets"/>
    <n v="3.38"/>
    <n v="3"/>
    <n v="0"/>
    <d v="2019-01-21T00:00:00"/>
    <n v="0"/>
    <n v="17"/>
    <s v="MID"/>
    <s v="MID"/>
    <s v="MID"/>
  </r>
  <r>
    <s v="Kreuger, Freddy"/>
    <s v="Freddy"/>
    <s v="Kreuger"/>
    <n v="15"/>
    <s v="HIGH"/>
    <s v="Solid Performer"/>
    <x v="0"/>
    <n v="10165"/>
    <n v="0"/>
    <n v="0"/>
    <n v="1"/>
    <n v="1"/>
    <n v="6"/>
    <n v="3"/>
    <n v="1"/>
    <n v="71339"/>
    <n v="0"/>
    <n v="3"/>
    <s v="Area Sales Manager"/>
    <s v="NY"/>
    <n v="10171"/>
    <d v="1969-02-24T00:00:00"/>
    <s v="M "/>
    <s v="Single"/>
    <s v="US Citizen"/>
    <s v="Yes"/>
    <s v="Black or African American"/>
    <d v="2011-03-07T00:00:00"/>
    <m/>
    <s v="N/A-StillEmployed"/>
    <s v="Active"/>
    <x v="4"/>
    <s v="John Smith"/>
    <n v="17"/>
    <s v="Diversity Job Fair"/>
    <s v="Fully Meets"/>
    <n v="3.65"/>
    <n v="5"/>
    <n v="0"/>
    <d v="2019-01-17T00:00:00"/>
    <n v="0"/>
    <n v="20"/>
    <s v="HIGH"/>
    <s v="HIGH"/>
    <s v="HIGH"/>
  </r>
  <r>
    <s v="Lajiri,  Jyoti"/>
    <s v="Jyoti"/>
    <s v="Lajiri"/>
    <n v="11"/>
    <s v="HIGH"/>
    <s v="Solid Performer"/>
    <x v="0"/>
    <n v="10113"/>
    <n v="1"/>
    <n v="1"/>
    <n v="1"/>
    <n v="3"/>
    <n v="3"/>
    <n v="3"/>
    <n v="0"/>
    <n v="93206"/>
    <n v="0"/>
    <n v="28"/>
    <s v="Sr. Network Engineer"/>
    <s v="MA"/>
    <n v="2169"/>
    <d v="1986-04-23T00:00:00"/>
    <s v="M "/>
    <s v="Married"/>
    <s v="US Citizen"/>
    <s v="No"/>
    <s v="White"/>
    <d v="2014-11-10T00:00:00"/>
    <m/>
    <s v="N/A-StillEmployed"/>
    <s v="Active"/>
    <x v="1"/>
    <s v="Peter Monroe"/>
    <n v="7"/>
    <s v="Employee Referral"/>
    <s v="Fully Meets"/>
    <n v="4.46"/>
    <n v="5"/>
    <n v="6"/>
    <d v="2019-01-07T00:00:00"/>
    <n v="0"/>
    <n v="7"/>
    <s v="HIGH"/>
    <s v="HIGH"/>
    <s v="HIGH"/>
  </r>
  <r>
    <s v="Landa, Hans"/>
    <s v="Hans"/>
    <s v="Landa"/>
    <n v="4"/>
    <s v="HIGH"/>
    <s v="Solid Performer"/>
    <x v="2"/>
    <n v="10092"/>
    <n v="1"/>
    <n v="1"/>
    <n v="1"/>
    <n v="4"/>
    <n v="5"/>
    <n v="3"/>
    <n v="0"/>
    <n v="82758"/>
    <n v="1"/>
    <n v="18"/>
    <s v="Production Manager"/>
    <s v="MA"/>
    <n v="1890"/>
    <d v="1972-07-01T00:00:00"/>
    <s v="M "/>
    <s v="Married"/>
    <s v="US Citizen"/>
    <s v="No"/>
    <s v="White"/>
    <d v="2011-01-10T00:00:00"/>
    <d v="2015-12-12T00:00:00"/>
    <s v="attendance"/>
    <s v="Terminated for Cause"/>
    <x v="0"/>
    <s v="Janet King"/>
    <n v="2"/>
    <s v="Employee Referral"/>
    <s v="Fully Meets"/>
    <n v="4.78"/>
    <n v="4"/>
    <n v="0"/>
    <d v="2015-02-15T00:00:00"/>
    <n v="0"/>
    <n v="9"/>
    <s v="HIGH"/>
    <s v="HIGH"/>
    <s v="HIGH"/>
  </r>
  <r>
    <s v="Langford, Lindsey"/>
    <s v="Lindsey"/>
    <s v="Langford"/>
    <n v="1"/>
    <s v="MID"/>
    <s v="Solid Performer"/>
    <x v="1"/>
    <n v="10106"/>
    <n v="0"/>
    <n v="2"/>
    <n v="0"/>
    <n v="5"/>
    <n v="5"/>
    <n v="3"/>
    <n v="0"/>
    <n v="66074"/>
    <n v="1"/>
    <n v="20"/>
    <s v="Production Technician II"/>
    <s v="MA"/>
    <n v="2090"/>
    <d v="1979-07-25T00:00:00"/>
    <s v="F"/>
    <s v="Divorced"/>
    <s v="US Citizen"/>
    <s v="No"/>
    <s v="Asian"/>
    <d v="2013-01-07T00:00:00"/>
    <d v="2014-03-31T00:00:00"/>
    <s v="Another position"/>
    <s v="Voluntarily Terminated"/>
    <x v="0"/>
    <s v="David Stanley"/>
    <n v="14"/>
    <s v="Indeed"/>
    <s v="Fully Meets"/>
    <n v="4.5199999999999996"/>
    <n v="3"/>
    <n v="0"/>
    <d v="2014-02-20T00:00:00"/>
    <n v="0"/>
    <n v="20"/>
    <s v="MID"/>
    <s v="MID"/>
    <s v="MID"/>
  </r>
  <r>
    <s v="Langton, Enrico"/>
    <s v="Enrico"/>
    <s v="Langton"/>
    <n v="13"/>
    <s v="MID"/>
    <s v="Solid Performer"/>
    <x v="0"/>
    <n v="10052"/>
    <n v="1"/>
    <n v="1"/>
    <n v="1"/>
    <n v="1"/>
    <n v="5"/>
    <n v="3"/>
    <n v="0"/>
    <n v="46120"/>
    <n v="0"/>
    <n v="19"/>
    <s v="Production Technician I"/>
    <s v="MA"/>
    <n v="2048"/>
    <d v="1986-12-09T00:00:00"/>
    <s v="M "/>
    <s v="Married"/>
    <s v="US Citizen"/>
    <s v="No"/>
    <s v="White"/>
    <d v="2012-07-09T00:00:00"/>
    <m/>
    <s v="N/A-StillEmployed"/>
    <s v="Active"/>
    <x v="0"/>
    <s v="David Stanley"/>
    <n v="14"/>
    <s v="LinkedIn"/>
    <s v="Fully Meets"/>
    <n v="5"/>
    <n v="5"/>
    <n v="0"/>
    <d v="2019-02-04T00:00:00"/>
    <n v="0"/>
    <n v="13"/>
    <s v="MID"/>
    <s v="MID"/>
    <s v="MID"/>
  </r>
  <r>
    <s v="LaRotonda, William  "/>
    <s v="William"/>
    <s v="LaRotonda"/>
    <n v="12"/>
    <s v="MID"/>
    <s v="Solid Performer"/>
    <x v="0"/>
    <n v="10038"/>
    <n v="0"/>
    <n v="2"/>
    <n v="1"/>
    <n v="1"/>
    <n v="1"/>
    <n v="3"/>
    <n v="0"/>
    <n v="64520"/>
    <n v="0"/>
    <n v="1"/>
    <s v="Accountant I"/>
    <s v="MA"/>
    <n v="1460"/>
    <d v="1984-04-26T00:00:00"/>
    <s v="M "/>
    <s v="Divorced"/>
    <s v="US Citizen"/>
    <s v="No"/>
    <s v="Black or African American"/>
    <d v="2014-01-06T00:00:00"/>
    <m/>
    <s v="N/A-StillEmployed"/>
    <s v="Active"/>
    <x v="3"/>
    <s v="Brandon R. LeBlanc"/>
    <n v="1"/>
    <s v="Website"/>
    <s v="Fully Meets"/>
    <n v="5"/>
    <n v="4"/>
    <n v="4"/>
    <d v="2019-01-17T00:00:00"/>
    <n v="0"/>
    <n v="3"/>
    <s v="MID"/>
    <s v="MID"/>
    <s v="MID"/>
  </r>
  <r>
    <s v="Latif, Mohammed"/>
    <s v="Mohammed"/>
    <s v="Latif"/>
    <n v="1"/>
    <s v="MID"/>
    <s v="Solid Performer"/>
    <x v="1"/>
    <n v="10249"/>
    <n v="1"/>
    <n v="1"/>
    <n v="1"/>
    <n v="5"/>
    <n v="5"/>
    <n v="3"/>
    <n v="0"/>
    <n v="61962"/>
    <n v="1"/>
    <n v="20"/>
    <s v="Production Technician II"/>
    <s v="MA"/>
    <n v="2126"/>
    <d v="1984-05-09T00:00:00"/>
    <s v="M "/>
    <s v="Married"/>
    <s v="US Citizen"/>
    <s v="No"/>
    <s v="White"/>
    <d v="2012-04-02T00:00:00"/>
    <d v="2013-04-15T00:00:00"/>
    <s v="more money"/>
    <s v="Voluntarily Terminated"/>
    <x v="0"/>
    <s v="Kissy Sullivan"/>
    <n v="20"/>
    <s v="Google Search"/>
    <s v="Fully Meets"/>
    <n v="4.9000000000000004"/>
    <n v="3"/>
    <n v="0"/>
    <d v="2013-02-20T00:00:00"/>
    <n v="0"/>
    <n v="20"/>
    <s v="MID"/>
    <s v="MID"/>
    <s v="MID"/>
  </r>
  <r>
    <s v="Le, Binh"/>
    <s v="Binh"/>
    <s v="Le"/>
    <n v="9"/>
    <s v="HIGH"/>
    <s v="Solid Performer"/>
    <x v="0"/>
    <n v="10232"/>
    <n v="0"/>
    <n v="0"/>
    <n v="0"/>
    <n v="1"/>
    <n v="3"/>
    <n v="3"/>
    <n v="0"/>
    <n v="81584"/>
    <n v="0"/>
    <n v="22"/>
    <s v="Senior BI Developer"/>
    <s v="MA"/>
    <n v="1886"/>
    <d v="1987-06-14T00:00:00"/>
    <s v="F"/>
    <s v="Single"/>
    <s v="US Citizen"/>
    <s v="No"/>
    <s v="Asian"/>
    <d v="2016-10-02T00:00:00"/>
    <m/>
    <s v="N/A-StillEmployed"/>
    <s v="Active"/>
    <x v="1"/>
    <s v="Brian Champaigne"/>
    <n v="13"/>
    <s v="Indeed"/>
    <s v="Fully Meets"/>
    <n v="4.0999999999999996"/>
    <n v="5"/>
    <n v="7"/>
    <d v="2019-01-08T00:00:00"/>
    <n v="0"/>
    <n v="2"/>
    <s v="HIGH"/>
    <s v="HIGH"/>
    <s v="HIGH"/>
  </r>
  <r>
    <s v="Leach, Dallas"/>
    <s v="Dallas"/>
    <s v="Leach"/>
    <n v="6"/>
    <s v="MID"/>
    <s v="Solid Performer"/>
    <x v="1"/>
    <n v="10087"/>
    <n v="0"/>
    <n v="0"/>
    <n v="0"/>
    <n v="5"/>
    <n v="5"/>
    <n v="3"/>
    <n v="0"/>
    <n v="63676"/>
    <n v="1"/>
    <n v="19"/>
    <s v="Production Technician I"/>
    <s v="MA"/>
    <n v="1810"/>
    <d v="1979-01-17T00:00:00"/>
    <s v="F"/>
    <s v="Single"/>
    <s v="US Citizen"/>
    <s v="No"/>
    <s v="Asian"/>
    <d v="2011-09-26T00:00:00"/>
    <d v="2018-08-19T00:00:00"/>
    <s v="return to school"/>
    <s v="Voluntarily Terminated"/>
    <x v="0"/>
    <s v="Kissy Sullivan"/>
    <n v="20"/>
    <s v="CareerBuilder"/>
    <s v="Fully Meets"/>
    <n v="4.88"/>
    <n v="3"/>
    <n v="0"/>
    <d v="2017-07-02T00:00:00"/>
    <n v="0"/>
    <n v="17"/>
    <s v="MID"/>
    <s v="MID"/>
    <s v="MID"/>
  </r>
  <r>
    <s v="LeBlanc, Brandon  R"/>
    <s v="Brandon R"/>
    <s v="LeBlanc"/>
    <n v="10"/>
    <s v="HIGH"/>
    <s v="Solid Performer"/>
    <x v="0"/>
    <n v="10134"/>
    <n v="1"/>
    <n v="1"/>
    <n v="1"/>
    <n v="1"/>
    <n v="1"/>
    <n v="3"/>
    <n v="0"/>
    <n v="93046"/>
    <n v="0"/>
    <n v="23"/>
    <s v="Shared Services Manager"/>
    <s v="MA"/>
    <n v="1460"/>
    <d v="1984-06-10T00:00:00"/>
    <s v="M "/>
    <s v="Married"/>
    <s v="US Citizen"/>
    <s v="No"/>
    <s v="White"/>
    <d v="2016-01-05T00:00:00"/>
    <m/>
    <s v="N/A-StillEmployed"/>
    <s v="Active"/>
    <x v="3"/>
    <s v="Janet King"/>
    <n v="2"/>
    <s v="CareerBuilder"/>
    <s v="Fully Meets"/>
    <n v="4.0999999999999996"/>
    <n v="4"/>
    <n v="0"/>
    <d v="2019-01-28T00:00:00"/>
    <n v="0"/>
    <n v="20"/>
    <s v="HIGH"/>
    <s v="HIGH"/>
    <s v="HIGH"/>
  </r>
  <r>
    <s v="Lecter, Hannibal"/>
    <s v="Hannibal"/>
    <s v="Lecter"/>
    <n v="13"/>
    <s v="MID"/>
    <s v="Solid Performer"/>
    <x v="0"/>
    <n v="10251"/>
    <n v="1"/>
    <n v="1"/>
    <n v="1"/>
    <n v="1"/>
    <n v="5"/>
    <n v="3"/>
    <n v="0"/>
    <n v="64738"/>
    <n v="0"/>
    <n v="19"/>
    <s v="Production Technician I"/>
    <s v="MA"/>
    <n v="1776"/>
    <d v="1982-09-02T00:00:00"/>
    <s v="M "/>
    <s v="Married"/>
    <s v="US Citizen"/>
    <s v="No"/>
    <s v="Asian"/>
    <d v="2012-05-14T00:00:00"/>
    <m/>
    <s v="N/A-StillEmployed"/>
    <s v="Active"/>
    <x v="0"/>
    <s v="Elijiah Gray"/>
    <n v="16"/>
    <s v="Google Search"/>
    <s v="Fully Meets"/>
    <n v="4.0999999999999996"/>
    <n v="3"/>
    <n v="0"/>
    <d v="2019-02-22T00:00:00"/>
    <n v="0"/>
    <n v="10"/>
    <s v="MID"/>
    <s v="MID"/>
    <s v="MID"/>
  </r>
  <r>
    <s v="Leruth, Giovanni"/>
    <s v="Giovanni"/>
    <s v="Leruth"/>
    <n v="13"/>
    <s v="HIGH"/>
    <s v="Solid Performer"/>
    <x v="0"/>
    <n v="10103"/>
    <n v="0"/>
    <n v="3"/>
    <n v="1"/>
    <n v="1"/>
    <n v="6"/>
    <n v="3"/>
    <n v="0"/>
    <n v="70468"/>
    <n v="0"/>
    <n v="3"/>
    <s v="Area Sales Manager"/>
    <s v="UT"/>
    <n v="84111"/>
    <d v="1988-12-27T00:00:00"/>
    <s v="M "/>
    <s v="Separated"/>
    <s v="US Citizen"/>
    <s v="No"/>
    <s v="Black or African American"/>
    <d v="2012-04-30T00:00:00"/>
    <m/>
    <s v="N/A-StillEmployed"/>
    <s v="Active"/>
    <x v="4"/>
    <s v="John Smith"/>
    <n v="17"/>
    <s v="Website"/>
    <s v="Fully Meets"/>
    <n v="4.53"/>
    <n v="3"/>
    <n v="0"/>
    <d v="2019-01-29T00:00:00"/>
    <n v="0"/>
    <n v="16"/>
    <s v="HIGH"/>
    <s v="HIGH"/>
    <s v="HIGH"/>
  </r>
  <r>
    <s v="Liebig, Ketsia"/>
    <s v="Ketsia"/>
    <s v="Liebig"/>
    <n v="12"/>
    <s v="HIGH"/>
    <s v="Top Performer"/>
    <x v="0"/>
    <n v="10017"/>
    <n v="1"/>
    <n v="1"/>
    <n v="0"/>
    <n v="1"/>
    <n v="5"/>
    <n v="4"/>
    <n v="0"/>
    <n v="77915"/>
    <n v="0"/>
    <n v="18"/>
    <s v="Production Manager"/>
    <s v="MA"/>
    <n v="2110"/>
    <d v="1981-10-26T00:00:00"/>
    <s v="F"/>
    <s v="Married"/>
    <s v="US Citizen"/>
    <s v="No"/>
    <s v="White"/>
    <d v="2013-09-30T00:00:00"/>
    <m/>
    <s v="N/A-StillEmployed"/>
    <s v="Active"/>
    <x v="0"/>
    <s v="Janet King"/>
    <n v="2"/>
    <s v="Website"/>
    <s v="Exceeds"/>
    <n v="4.0999999999999996"/>
    <n v="3"/>
    <n v="0"/>
    <d v="2019-01-21T00:00:00"/>
    <n v="0"/>
    <n v="11"/>
    <s v="HIGH"/>
    <s v="HIGH"/>
    <s v="HIGH"/>
  </r>
  <r>
    <s v="Linares, Marilyn "/>
    <s v="Marilyn"/>
    <s v="Linares"/>
    <n v="7"/>
    <s v="MID"/>
    <s v="Solid Performer"/>
    <x v="1"/>
    <n v="10186"/>
    <n v="1"/>
    <n v="1"/>
    <n v="0"/>
    <n v="5"/>
    <n v="5"/>
    <n v="3"/>
    <n v="0"/>
    <n v="52624"/>
    <n v="1"/>
    <n v="19"/>
    <s v="Production Technician I"/>
    <s v="MA"/>
    <n v="1886"/>
    <d v="1981-03-26T00:00:00"/>
    <s v="F"/>
    <s v="Married"/>
    <s v="US Citizen"/>
    <s v="No"/>
    <s v="White"/>
    <d v="2011-07-05T00:00:00"/>
    <d v="2018-09-26T00:00:00"/>
    <s v="unhappy"/>
    <s v="Voluntarily Terminated"/>
    <x v="0"/>
    <s v="Michael Albert"/>
    <n v="22"/>
    <s v="Indeed"/>
    <s v="Fully Meets"/>
    <n v="3.18"/>
    <n v="4"/>
    <n v="0"/>
    <d v="2018-03-02T00:00:00"/>
    <n v="0"/>
    <n v="16"/>
    <s v="MID"/>
    <s v="MID"/>
    <s v="MID"/>
  </r>
  <r>
    <s v="Linden, Mathew"/>
    <s v="Mathew"/>
    <s v="Linden"/>
    <n v="12"/>
    <s v="MID"/>
    <s v="Solid Performer"/>
    <x v="0"/>
    <n v="10137"/>
    <n v="1"/>
    <n v="1"/>
    <n v="1"/>
    <n v="3"/>
    <n v="5"/>
    <n v="3"/>
    <n v="0"/>
    <n v="63450"/>
    <n v="0"/>
    <n v="20"/>
    <s v="Production Technician II"/>
    <s v="MA"/>
    <n v="1770"/>
    <d v="1979-03-19T00:00:00"/>
    <s v="M "/>
    <s v="Married"/>
    <s v="US Citizen"/>
    <s v="No"/>
    <s v="White"/>
    <d v="2013-07-08T00:00:00"/>
    <m/>
    <s v="N/A-StillEmployed"/>
    <s v="Active"/>
    <x v="0"/>
    <s v="Kelley Spirea"/>
    <n v="18"/>
    <s v="LinkedIn"/>
    <s v="Fully Meets"/>
    <n v="4"/>
    <n v="3"/>
    <n v="0"/>
    <d v="2019-02-18T00:00:00"/>
    <n v="0"/>
    <n v="7"/>
    <s v="MID"/>
    <s v="MID"/>
    <s v="MID"/>
  </r>
  <r>
    <s v="Lindsay, Leonara "/>
    <s v="Leonara"/>
    <s v="Lindsay"/>
    <n v="15"/>
    <s v="MID"/>
    <s v="Top Performer"/>
    <x v="0"/>
    <n v="10008"/>
    <n v="0"/>
    <n v="0"/>
    <n v="0"/>
    <n v="1"/>
    <n v="3"/>
    <n v="4"/>
    <n v="1"/>
    <n v="51777"/>
    <n v="0"/>
    <n v="14"/>
    <s v="IT Support"/>
    <s v="CT"/>
    <n v="6070"/>
    <d v="1988-10-05T00:00:00"/>
    <s v="F"/>
    <s v="Single"/>
    <s v="US Citizen"/>
    <s v="Yes"/>
    <s v="Black or African American"/>
    <d v="2011-01-21T00:00:00"/>
    <m/>
    <s v="N/A-StillEmployed"/>
    <s v="Active"/>
    <x v="1"/>
    <s v="Eric Dougall"/>
    <n v="6"/>
    <s v="Diversity Job Fair"/>
    <s v="Exceeds"/>
    <n v="4.6399999999999997"/>
    <n v="4"/>
    <n v="5"/>
    <d v="2019-01-25T00:00:00"/>
    <n v="0"/>
    <n v="14"/>
    <s v="MID"/>
    <s v="MID"/>
    <s v="MID"/>
  </r>
  <r>
    <s v="Lundy, Susan"/>
    <s v="Susan"/>
    <s v="Lundy"/>
    <n v="3"/>
    <s v="MID"/>
    <s v="Solid Performer"/>
    <x v="1"/>
    <n v="10096"/>
    <n v="0"/>
    <n v="4"/>
    <n v="0"/>
    <n v="5"/>
    <n v="5"/>
    <n v="3"/>
    <n v="0"/>
    <n v="67237"/>
    <n v="1"/>
    <n v="20"/>
    <s v="Production Technician II"/>
    <s v="MA"/>
    <n v="2122"/>
    <d v="1976-12-26T00:00:00"/>
    <s v="F"/>
    <s v="Widowed"/>
    <s v="US Citizen"/>
    <s v="No"/>
    <s v="White"/>
    <d v="2013-07-08T00:00:00"/>
    <d v="2016-09-15T00:00:00"/>
    <s v="more money"/>
    <s v="Voluntarily Terminated"/>
    <x v="0"/>
    <s v="Michael Albert"/>
    <n v="22"/>
    <s v="LinkedIn"/>
    <s v="Fully Meets"/>
    <n v="4.6500000000000004"/>
    <n v="4"/>
    <n v="0"/>
    <d v="2016-06-10T00:00:00"/>
    <n v="0"/>
    <n v="15"/>
    <s v="MID"/>
    <s v="MID"/>
    <s v="MID"/>
  </r>
  <r>
    <s v="Lunquist, Lisa"/>
    <s v="Lisa"/>
    <s v="Lunquist"/>
    <n v="12"/>
    <s v="HIGH"/>
    <s v="Top Performer"/>
    <x v="0"/>
    <n v="10035"/>
    <n v="0"/>
    <n v="0"/>
    <n v="0"/>
    <n v="1"/>
    <n v="5"/>
    <n v="4"/>
    <n v="0"/>
    <n v="73330"/>
    <n v="0"/>
    <n v="20"/>
    <s v="Production Technician II"/>
    <s v="MA"/>
    <n v="2324"/>
    <d v="1982-03-28T00:00:00"/>
    <s v="F"/>
    <s v="Single"/>
    <s v="US Citizen"/>
    <s v="No"/>
    <s v="Black or African American"/>
    <d v="2013-08-19T00:00:00"/>
    <m/>
    <s v="N/A-StillEmployed"/>
    <s v="Active"/>
    <x v="0"/>
    <s v="Elijiah Gray"/>
    <n v="16"/>
    <s v="Indeed"/>
    <s v="Exceeds"/>
    <n v="4.2"/>
    <n v="4"/>
    <n v="0"/>
    <d v="2019-02-12T00:00:00"/>
    <n v="0"/>
    <n v="19"/>
    <s v="HIGH"/>
    <s v="HIGH"/>
    <s v="HIGH"/>
  </r>
  <r>
    <s v="Lydon, Allison"/>
    <s v="Allison"/>
    <s v="Lydon"/>
    <n v="11"/>
    <s v="MID"/>
    <s v="Solid Performer"/>
    <x v="0"/>
    <n v="10057"/>
    <n v="1"/>
    <n v="1"/>
    <n v="0"/>
    <n v="3"/>
    <n v="5"/>
    <n v="3"/>
    <n v="0"/>
    <n v="52057"/>
    <n v="0"/>
    <n v="19"/>
    <s v="Production Technician I"/>
    <s v="MA"/>
    <n v="2122"/>
    <d v="1975-10-22T00:00:00"/>
    <s v="F"/>
    <s v="Married"/>
    <s v="US Citizen"/>
    <s v="No"/>
    <s v="Black or African American"/>
    <d v="2015-02-16T00:00:00"/>
    <m/>
    <s v="N/A-StillEmployed"/>
    <s v="Active"/>
    <x v="0"/>
    <s v="Elijiah Gray"/>
    <n v="16"/>
    <s v="Website"/>
    <s v="Fully Meets"/>
    <n v="5"/>
    <n v="3"/>
    <n v="0"/>
    <d v="2019-01-23T00:00:00"/>
    <n v="0"/>
    <n v="6"/>
    <s v="MID"/>
    <s v="MID"/>
    <s v="MID"/>
  </r>
  <r>
    <s v="Lynch, Lindsay"/>
    <s v="Lindsay"/>
    <s v="Lynch"/>
    <n v="4"/>
    <s v="MID"/>
    <s v="Top Performer"/>
    <x v="1"/>
    <n v="10004"/>
    <n v="0"/>
    <n v="0"/>
    <n v="0"/>
    <n v="5"/>
    <n v="5"/>
    <n v="4"/>
    <n v="1"/>
    <n v="47434"/>
    <n v="1"/>
    <n v="19"/>
    <s v="Production Technician I"/>
    <s v="MA"/>
    <n v="1844"/>
    <d v="1973-02-14T00:00:00"/>
    <s v="F"/>
    <s v="Single"/>
    <s v="US Citizen"/>
    <s v="Yes"/>
    <s v="Black or African American"/>
    <d v="2011-11-07T00:00:00"/>
    <d v="2015-11-14T00:00:00"/>
    <s v="Another position"/>
    <s v="Voluntarily Terminated"/>
    <x v="0"/>
    <s v="Webster Butler"/>
    <n v="39"/>
    <s v="Diversity Job Fair"/>
    <s v="Exceeds"/>
    <n v="5"/>
    <n v="4"/>
    <n v="0"/>
    <d v="2015-02-02T00:00:00"/>
    <n v="0"/>
    <n v="17"/>
    <s v="MID"/>
    <s v="MID"/>
    <s v="MID"/>
  </r>
  <r>
    <s v="MacLennan, Samuel"/>
    <s v="Samuel"/>
    <s v="MacLennan"/>
    <n v="5"/>
    <s v="MID"/>
    <s v="Solid Performer"/>
    <x v="1"/>
    <n v="10191"/>
    <n v="0"/>
    <n v="4"/>
    <n v="1"/>
    <n v="5"/>
    <n v="5"/>
    <n v="3"/>
    <n v="0"/>
    <n v="52788"/>
    <n v="1"/>
    <n v="19"/>
    <s v="Production Technician I"/>
    <s v="MA"/>
    <n v="1938"/>
    <d v="1972-11-09T00:00:00"/>
    <s v="M "/>
    <s v="Widowed"/>
    <s v="US Citizen"/>
    <s v="No"/>
    <s v="White"/>
    <d v="2012-09-24T00:00:00"/>
    <d v="2017-09-26T00:00:00"/>
    <s v="hours"/>
    <s v="Voluntarily Terminated"/>
    <x v="0"/>
    <s v="Amy Dunn"/>
    <n v="11"/>
    <s v="Indeed"/>
    <s v="Fully Meets"/>
    <n v="3.08"/>
    <n v="4"/>
    <n v="0"/>
    <d v="2017-04-01T00:00:00"/>
    <n v="0"/>
    <n v="18"/>
    <s v="MID"/>
    <s v="MID"/>
    <s v="MID"/>
  </r>
  <r>
    <s v="Mahoney, Lauren  "/>
    <s v="Lauren"/>
    <s v="Mahoney"/>
    <n v="12"/>
    <s v="MID"/>
    <s v="Solid Performer"/>
    <x v="0"/>
    <n v="10219"/>
    <n v="0"/>
    <n v="0"/>
    <n v="0"/>
    <n v="1"/>
    <n v="5"/>
    <n v="3"/>
    <n v="0"/>
    <n v="45395"/>
    <n v="0"/>
    <n v="19"/>
    <s v="Production Technician I"/>
    <s v="MA"/>
    <n v="2189"/>
    <d v="1986-07-07T00:00:00"/>
    <s v="F"/>
    <s v="Single"/>
    <s v="US Citizen"/>
    <s v="No"/>
    <s v="White"/>
    <d v="2014-01-06T00:00:00"/>
    <m/>
    <s v="N/A-StillEmployed"/>
    <s v="Active"/>
    <x v="0"/>
    <s v="Ketsia Liebig"/>
    <n v="19"/>
    <s v="LinkedIn"/>
    <s v="Fully Meets"/>
    <n v="4.5999999999999996"/>
    <n v="4"/>
    <n v="0"/>
    <d v="2019-02-26T00:00:00"/>
    <n v="0"/>
    <n v="14"/>
    <s v="MID"/>
    <s v="MID"/>
    <s v="MID"/>
  </r>
  <r>
    <s v="Manchester, Robyn"/>
    <s v="Robyn"/>
    <s v="Manchester"/>
    <n v="9"/>
    <s v="MID"/>
    <s v="Solid Performer"/>
    <x v="0"/>
    <n v="10077"/>
    <n v="1"/>
    <n v="1"/>
    <n v="0"/>
    <n v="2"/>
    <n v="5"/>
    <n v="3"/>
    <n v="0"/>
    <n v="62385"/>
    <n v="0"/>
    <n v="20"/>
    <s v="Production Technician II"/>
    <s v="MA"/>
    <n v="2324"/>
    <d v="1976-08-25T00:00:00"/>
    <s v="F"/>
    <s v="Married"/>
    <s v="US Citizen"/>
    <s v="No"/>
    <s v="White"/>
    <d v="2016-05-11T00:00:00"/>
    <m/>
    <s v="N/A-StillEmployed"/>
    <s v="Active"/>
    <x v="0"/>
    <s v="Webster Butler"/>
    <m/>
    <s v="LinkedIn"/>
    <s v="Fully Meets"/>
    <n v="5"/>
    <n v="3"/>
    <n v="0"/>
    <d v="2019-01-21T00:00:00"/>
    <n v="0"/>
    <n v="4"/>
    <s v="MID"/>
    <s v="MID"/>
    <s v="MID"/>
  </r>
  <r>
    <s v="Mancuso, Karen"/>
    <s v="Karen"/>
    <s v="Mancuso"/>
    <n v="1"/>
    <s v="MID"/>
    <s v="Solid Performer"/>
    <x v="1"/>
    <n v="10073"/>
    <n v="1"/>
    <n v="1"/>
    <n v="0"/>
    <n v="5"/>
    <n v="5"/>
    <n v="3"/>
    <n v="0"/>
    <n v="68407"/>
    <n v="1"/>
    <n v="20"/>
    <s v="Production Technician II"/>
    <s v="MA"/>
    <n v="2176"/>
    <d v="1986-12-10T00:00:00"/>
    <s v="F"/>
    <s v="Married"/>
    <s v="US Citizen"/>
    <s v="No"/>
    <s v="Two or more races"/>
    <d v="2011-07-05T00:00:00"/>
    <d v="2012-08-19T00:00:00"/>
    <s v="Another position"/>
    <s v="Voluntarily Terminated"/>
    <x v="0"/>
    <s v="Amy Dunn"/>
    <n v="11"/>
    <s v="LinkedIn"/>
    <s v="Fully Meets"/>
    <n v="5"/>
    <n v="4"/>
    <n v="0"/>
    <d v="2012-07-02T00:00:00"/>
    <n v="0"/>
    <n v="16"/>
    <s v="MID"/>
    <s v="MID"/>
    <s v="MID"/>
  </r>
  <r>
    <s v="Mangal, Debbie"/>
    <s v="Debbie"/>
    <s v="Mangal"/>
    <n v="12"/>
    <s v="MID"/>
    <s v="Solid Performer"/>
    <x v="0"/>
    <n v="10279"/>
    <n v="1"/>
    <n v="1"/>
    <n v="0"/>
    <n v="1"/>
    <n v="5"/>
    <n v="3"/>
    <n v="0"/>
    <n v="61349"/>
    <n v="0"/>
    <n v="19"/>
    <s v="Production Technician I"/>
    <s v="MA"/>
    <n v="2451"/>
    <d v="1974-11-07T00:00:00"/>
    <s v="F"/>
    <s v="Married"/>
    <s v="US Citizen"/>
    <s v="No"/>
    <s v="White"/>
    <d v="2013-11-11T00:00:00"/>
    <m/>
    <s v="N/A-StillEmployed"/>
    <s v="Active"/>
    <x v="0"/>
    <s v="Brannon Miller"/>
    <n v="12"/>
    <s v="LinkedIn"/>
    <s v="Fully Meets"/>
    <n v="4.0999999999999996"/>
    <n v="3"/>
    <n v="0"/>
    <d v="2019-01-22T00:00:00"/>
    <n v="0"/>
    <n v="11"/>
    <s v="MID"/>
    <s v="MID"/>
    <s v="MID"/>
  </r>
  <r>
    <s v="Martin, Sandra"/>
    <s v="Sandra"/>
    <s v="Martin"/>
    <n v="12"/>
    <s v="Executive"/>
    <s v="Solid Performer"/>
    <x v="0"/>
    <n v="10110"/>
    <n v="0"/>
    <n v="0"/>
    <n v="0"/>
    <n v="1"/>
    <n v="4"/>
    <n v="3"/>
    <n v="0"/>
    <n v="105688"/>
    <n v="0"/>
    <n v="24"/>
    <s v="Software Engineer"/>
    <s v="MA"/>
    <n v="2135"/>
    <d v="1987-11-07T00:00:00"/>
    <s v="F"/>
    <s v="Single"/>
    <s v="US Citizen"/>
    <s v="No"/>
    <s v="Asian"/>
    <d v="2013-11-11T00:00:00"/>
    <m/>
    <s v="N/A-StillEmployed"/>
    <s v="Active"/>
    <x v="2"/>
    <s v="Alex Sweetwater"/>
    <n v="10"/>
    <s v="Google Search"/>
    <s v="Fully Meets"/>
    <n v="4.5"/>
    <n v="5"/>
    <n v="4"/>
    <d v="2019-01-14T00:00:00"/>
    <n v="0"/>
    <n v="14"/>
    <s v="Executive"/>
    <s v="Executive"/>
    <s v="Executive"/>
  </r>
  <r>
    <s v="Maurice, Shana"/>
    <s v="Shana"/>
    <s v="Maurice"/>
    <n v="14"/>
    <s v="MID"/>
    <s v="Solid Performer"/>
    <x v="0"/>
    <n v="10053"/>
    <n v="1"/>
    <n v="1"/>
    <n v="0"/>
    <n v="1"/>
    <n v="5"/>
    <n v="3"/>
    <n v="0"/>
    <n v="54132"/>
    <n v="0"/>
    <n v="19"/>
    <s v="Production Technician I"/>
    <s v="MA"/>
    <n v="2330"/>
    <d v="1977-11-22T00:00:00"/>
    <s v="F"/>
    <s v="Married"/>
    <s v="US Citizen"/>
    <s v="No"/>
    <s v="White"/>
    <d v="2011-05-31T00:00:00"/>
    <m/>
    <s v="N/A-StillEmployed"/>
    <s v="Active"/>
    <x v="0"/>
    <s v="David Stanley"/>
    <n v="14"/>
    <s v="Indeed"/>
    <s v="Fully Meets"/>
    <n v="5"/>
    <n v="4"/>
    <n v="0"/>
    <d v="2019-01-10T00:00:00"/>
    <n v="0"/>
    <n v="8"/>
    <s v="MID"/>
    <s v="MID"/>
    <s v="MID"/>
  </r>
  <r>
    <s v="Carthy, B'rigit"/>
    <s v="B'rigit"/>
    <s v="Carthy"/>
    <n v="11"/>
    <s v="MID"/>
    <s v="Solid Performer"/>
    <x v="0"/>
    <n v="10076"/>
    <n v="0"/>
    <n v="0"/>
    <n v="0"/>
    <n v="1"/>
    <n v="5"/>
    <n v="3"/>
    <n v="0"/>
    <n v="55315"/>
    <n v="0"/>
    <n v="20"/>
    <s v="Production Technician II"/>
    <s v="MA"/>
    <n v="2149"/>
    <d v="1987-05-21T00:00:00"/>
    <s v="F"/>
    <s v="Single"/>
    <s v="US Citizen"/>
    <s v="No"/>
    <s v="Black or African American"/>
    <d v="2015-03-30T00:00:00"/>
    <m/>
    <s v="N/A-StillEmployed"/>
    <s v="Active"/>
    <x v="0"/>
    <s v="Ketsia Liebig"/>
    <n v="19"/>
    <s v="LinkedIn"/>
    <s v="Fully Meets"/>
    <n v="5"/>
    <n v="5"/>
    <n v="0"/>
    <d v="2019-02-07T00:00:00"/>
    <n v="0"/>
    <n v="16"/>
    <s v="MID"/>
    <s v="MID"/>
    <s v="MID"/>
  </r>
  <r>
    <s v="Mckenna, Sandy"/>
    <s v="Sandy"/>
    <s v="Mckenna"/>
    <n v="13"/>
    <s v="MID"/>
    <s v="Solid Performer"/>
    <x v="0"/>
    <n v="10145"/>
    <n v="1"/>
    <n v="1"/>
    <n v="0"/>
    <n v="1"/>
    <n v="5"/>
    <n v="3"/>
    <n v="0"/>
    <n v="62810"/>
    <n v="0"/>
    <n v="19"/>
    <s v="Production Technician I"/>
    <s v="MA"/>
    <n v="2184"/>
    <d v="1987-01-07T00:00:00"/>
    <s v="F"/>
    <s v="Married"/>
    <s v="US Citizen"/>
    <s v="No"/>
    <s v="Black or African American"/>
    <d v="2013-01-07T00:00:00"/>
    <m/>
    <s v="N/A-StillEmployed"/>
    <s v="Active"/>
    <x v="0"/>
    <s v="Kissy Sullivan"/>
    <n v="20"/>
    <s v="CareerBuilder"/>
    <s v="Fully Meets"/>
    <n v="3.93"/>
    <n v="3"/>
    <n v="0"/>
    <d v="2019-01-30T00:00:00"/>
    <n v="0"/>
    <n v="20"/>
    <s v="MID"/>
    <s v="MID"/>
    <s v="MID"/>
  </r>
  <r>
    <s v="McKinzie, Jac"/>
    <s v="Jac"/>
    <s v="McKinzie"/>
    <n v="9"/>
    <s v="MID"/>
    <s v="Solid Performer"/>
    <x v="0"/>
    <n v="10202"/>
    <n v="1"/>
    <n v="1"/>
    <n v="1"/>
    <n v="2"/>
    <n v="6"/>
    <n v="3"/>
    <n v="0"/>
    <n v="63291"/>
    <n v="0"/>
    <n v="3"/>
    <s v="Area Sales Manager"/>
    <s v="TX"/>
    <n v="78789"/>
    <d v="1984-07-01T00:00:00"/>
    <s v="M "/>
    <s v="Married"/>
    <s v="US Citizen"/>
    <s v="No"/>
    <s v="Two or more races"/>
    <d v="2016-07-06T00:00:00"/>
    <m/>
    <s v="N/A-StillEmployed"/>
    <s v="Active"/>
    <x v="4"/>
    <s v="Lynn Daneault"/>
    <n v="21"/>
    <s v="Website"/>
    <s v="Fully Meets"/>
    <n v="3.4"/>
    <n v="4"/>
    <n v="0"/>
    <d v="2019-01-29T00:00:00"/>
    <n v="0"/>
    <n v="7"/>
    <s v="MID"/>
    <s v="MID"/>
    <s v="MID"/>
  </r>
  <r>
    <s v="Meads, Elizabeth"/>
    <s v="Elizabeth"/>
    <s v="Meads"/>
    <n v="4"/>
    <s v="MID"/>
    <s v="Solid Performer"/>
    <x v="1"/>
    <n v="10128"/>
    <n v="0"/>
    <n v="0"/>
    <n v="0"/>
    <n v="5"/>
    <n v="5"/>
    <n v="3"/>
    <n v="1"/>
    <n v="62659"/>
    <n v="1"/>
    <n v="19"/>
    <s v="Production Technician I"/>
    <s v="MA"/>
    <n v="1760"/>
    <d v="1968-05-30T00:00:00"/>
    <s v="F"/>
    <s v="Single"/>
    <s v="US Citizen"/>
    <s v="No"/>
    <s v="Black or African American"/>
    <d v="2012-04-02T00:00:00"/>
    <d v="2016-11-11T00:00:00"/>
    <s v="Another position"/>
    <s v="Voluntarily Terminated"/>
    <x v="0"/>
    <s v="Kelley Spirea"/>
    <n v="18"/>
    <s v="Diversity Job Fair"/>
    <s v="Fully Meets"/>
    <n v="4.18"/>
    <n v="4"/>
    <n v="0"/>
    <d v="2016-02-05T00:00:00"/>
    <n v="0"/>
    <n v="17"/>
    <s v="MID"/>
    <s v="MID"/>
    <s v="MID"/>
  </r>
  <r>
    <s v="Medeiros, Jennifer"/>
    <s v="Jennifer"/>
    <s v="Medeiros"/>
    <n v="11"/>
    <s v="MID"/>
    <s v="Solid Performer"/>
    <x v="0"/>
    <n v="10068"/>
    <n v="0"/>
    <n v="0"/>
    <n v="0"/>
    <n v="1"/>
    <n v="5"/>
    <n v="3"/>
    <n v="0"/>
    <n v="55688"/>
    <n v="0"/>
    <n v="19"/>
    <s v="Production Technician I"/>
    <s v="MA"/>
    <n v="2346"/>
    <d v="1976-09-22T00:00:00"/>
    <s v="F"/>
    <s v="Single"/>
    <s v="US Citizen"/>
    <s v="No"/>
    <s v="White"/>
    <d v="2015-03-30T00:00:00"/>
    <m/>
    <s v="N/A-StillEmployed"/>
    <s v="Active"/>
    <x v="0"/>
    <s v="Michael Albert"/>
    <n v="22"/>
    <s v="CareerBuilder"/>
    <s v="Fully Meets"/>
    <n v="5"/>
    <n v="4"/>
    <n v="0"/>
    <d v="2019-01-21T00:00:00"/>
    <n v="0"/>
    <n v="10"/>
    <s v="MID"/>
    <s v="MID"/>
    <s v="MID"/>
  </r>
  <r>
    <s v="Miller, Brannon"/>
    <s v="Brannon"/>
    <s v="Miller"/>
    <n v="13"/>
    <s v="HIGH"/>
    <s v="Solid Performer"/>
    <x v="0"/>
    <n v="10116"/>
    <n v="0"/>
    <n v="0"/>
    <n v="1"/>
    <n v="1"/>
    <n v="5"/>
    <n v="3"/>
    <n v="0"/>
    <n v="83667"/>
    <n v="0"/>
    <n v="18"/>
    <s v="Production Manager"/>
    <s v="MA"/>
    <n v="2045"/>
    <d v="1981-08-10T00:00:00"/>
    <s v="M "/>
    <s v="Single"/>
    <s v="US Citizen"/>
    <s v="Yes"/>
    <s v="Hispanic"/>
    <d v="2012-08-16T00:00:00"/>
    <m/>
    <s v="N/A-StillEmployed"/>
    <s v="Active"/>
    <x v="0"/>
    <s v="Janet King"/>
    <n v="2"/>
    <s v="Indeed"/>
    <s v="Fully Meets"/>
    <n v="4.37"/>
    <n v="3"/>
    <n v="0"/>
    <d v="2019-01-14T00:00:00"/>
    <n v="0"/>
    <n v="2"/>
    <s v="HIGH"/>
    <s v="HIGH"/>
    <s v="HIGH"/>
  </r>
  <r>
    <s v="Miller, Ned"/>
    <s v="Ned"/>
    <s v="Miller"/>
    <n v="3"/>
    <s v="MID"/>
    <s v="At Risk"/>
    <x v="1"/>
    <n v="10298"/>
    <n v="0"/>
    <n v="0"/>
    <n v="1"/>
    <n v="5"/>
    <n v="5"/>
    <n v="1"/>
    <n v="0"/>
    <n v="55800"/>
    <n v="1"/>
    <n v="20"/>
    <s v="Production Technician II"/>
    <s v="MA"/>
    <n v="2472"/>
    <d v="1985-06-29T00:00:00"/>
    <s v="M "/>
    <s v="Single"/>
    <s v="US Citizen"/>
    <s v="No"/>
    <s v="White"/>
    <d v="2011-08-15T00:00:00"/>
    <d v="2014-09-04T00:00:00"/>
    <s v="unhappy"/>
    <s v="Voluntarily Terminated"/>
    <x v="0"/>
    <s v="Brannon Miller"/>
    <n v="12"/>
    <s v="LinkedIn"/>
    <s v="PIP"/>
    <n v="3"/>
    <n v="2"/>
    <n v="0"/>
    <d v="2013-01-14T00:00:00"/>
    <n v="6"/>
    <n v="6"/>
    <s v="MID"/>
    <s v="MID"/>
    <s v="MID"/>
  </r>
  <r>
    <s v="Monkfish, Erasumus"/>
    <s v="Erasumus"/>
    <s v="Monkfish"/>
    <n v="14"/>
    <s v="MID"/>
    <s v="Solid Performer"/>
    <x v="0"/>
    <n v="10213"/>
    <n v="1"/>
    <n v="1"/>
    <n v="1"/>
    <n v="1"/>
    <n v="5"/>
    <n v="3"/>
    <n v="0"/>
    <n v="58207"/>
    <n v="0"/>
    <n v="20"/>
    <s v="Production Technician II"/>
    <s v="MA"/>
    <n v="1450"/>
    <d v="1992-08-17T00:00:00"/>
    <s v="M "/>
    <s v="Married"/>
    <s v="US Citizen"/>
    <s v="No"/>
    <s v="White"/>
    <d v="2011-11-07T00:00:00"/>
    <m/>
    <s v="N/A-StillEmployed"/>
    <s v="Active"/>
    <x v="0"/>
    <s v="David Stanley"/>
    <n v="14"/>
    <s v="LinkedIn"/>
    <s v="Fully Meets"/>
    <n v="3.7"/>
    <n v="3"/>
    <n v="0"/>
    <d v="2019-01-08T00:00:00"/>
    <n v="0"/>
    <n v="14"/>
    <s v="MID"/>
    <s v="MID"/>
    <s v="MID"/>
  </r>
  <r>
    <s v="Monroe, Peter"/>
    <s v="Peter"/>
    <s v="Monroe"/>
    <n v="14"/>
    <s v="Executive"/>
    <s v="Underperformer"/>
    <x v="0"/>
    <n v="10288"/>
    <n v="1"/>
    <n v="1"/>
    <n v="1"/>
    <n v="1"/>
    <n v="3"/>
    <n v="2"/>
    <n v="1"/>
    <n v="157000"/>
    <n v="0"/>
    <n v="13"/>
    <s v="IT Manager - Infra"/>
    <s v="MA"/>
    <n v="2134"/>
    <d v="1986-10-05T00:00:00"/>
    <s v="M "/>
    <s v="Married"/>
    <s v="Eligible NonCitizen"/>
    <s v="Yes"/>
    <s v="Black or African American"/>
    <d v="2012-02-15T00:00:00"/>
    <m/>
    <s v="N/A-StillEmployed"/>
    <s v="Active"/>
    <x v="1"/>
    <s v="Jennifer Zamora"/>
    <n v="5"/>
    <s v="Diversity Job Fair"/>
    <s v="Needs Improvement"/>
    <n v="2.39"/>
    <n v="3"/>
    <n v="6"/>
    <d v="2019-02-22T00:00:00"/>
    <n v="4"/>
    <n v="13"/>
    <s v="Executive"/>
    <s v="Executive"/>
    <s v="Executive"/>
  </r>
  <r>
    <s v="Monterro, Luisa"/>
    <s v="Luisa"/>
    <s v="Monterro"/>
    <n v="12"/>
    <s v="HIGH"/>
    <s v="Top Performer"/>
    <x v="0"/>
    <n v="10025"/>
    <n v="0"/>
    <n v="0"/>
    <n v="0"/>
    <n v="1"/>
    <n v="5"/>
    <n v="4"/>
    <n v="0"/>
    <n v="72460"/>
    <n v="0"/>
    <n v="20"/>
    <s v="Production Technician II"/>
    <s v="MA"/>
    <n v="2126"/>
    <d v="1970-04-24T00:00:00"/>
    <s v="F"/>
    <s v="Single"/>
    <s v="US Citizen"/>
    <s v="No"/>
    <s v="Black or African American"/>
    <d v="2013-05-13T00:00:00"/>
    <m/>
    <s v="N/A-StillEmployed"/>
    <s v="Active"/>
    <x v="0"/>
    <s v="Kissy Sullivan"/>
    <n v="20"/>
    <s v="Indeed"/>
    <s v="Exceeds"/>
    <n v="4.7"/>
    <n v="3"/>
    <n v="0"/>
    <d v="2019-01-14T00:00:00"/>
    <n v="0"/>
    <n v="1"/>
    <s v="HIGH"/>
    <s v="HIGH"/>
    <s v="HIGH"/>
  </r>
  <r>
    <s v="Moran, Patrick"/>
    <s v="Patrick"/>
    <s v="Moran"/>
    <n v="14"/>
    <s v="HIGH"/>
    <s v="Solid Performer"/>
    <x v="0"/>
    <n v="10223"/>
    <n v="0"/>
    <n v="0"/>
    <n v="1"/>
    <n v="3"/>
    <n v="5"/>
    <n v="3"/>
    <n v="1"/>
    <n v="72106"/>
    <n v="0"/>
    <n v="20"/>
    <s v="Production Technician II"/>
    <s v="MA"/>
    <n v="2127"/>
    <d v="1976-12-03T00:00:00"/>
    <s v="M "/>
    <s v="Single"/>
    <s v="US Citizen"/>
    <s v="No"/>
    <s v="Black or African American"/>
    <d v="2012-01-09T00:00:00"/>
    <m/>
    <s v="N/A-StillEmployed"/>
    <s v="Active"/>
    <x v="0"/>
    <s v="Kelley Spirea"/>
    <n v="18"/>
    <s v="Diversity Job Fair"/>
    <s v="Fully Meets"/>
    <n v="4.0999999999999996"/>
    <n v="4"/>
    <n v="0"/>
    <d v="2019-01-31T00:00:00"/>
    <n v="0"/>
    <n v="12"/>
    <s v="HIGH"/>
    <s v="HIGH"/>
    <s v="HIGH"/>
  </r>
  <r>
    <s v="Morway, Tanya"/>
    <s v="Tanya"/>
    <s v="Morway"/>
    <n v="11"/>
    <s v="MID"/>
    <s v="Solid Performer"/>
    <x v="0"/>
    <n v="10151"/>
    <n v="1"/>
    <n v="1"/>
    <n v="0"/>
    <n v="1"/>
    <n v="3"/>
    <n v="3"/>
    <n v="0"/>
    <n v="52599"/>
    <n v="0"/>
    <n v="15"/>
    <s v="Network Engineer"/>
    <s v="MA"/>
    <n v="2048"/>
    <d v="1979-04-04T00:00:00"/>
    <s v="F"/>
    <s v="Married"/>
    <s v="US Citizen"/>
    <s v="No"/>
    <s v="White"/>
    <d v="2015-02-16T00:00:00"/>
    <m/>
    <s v="N/A-StillEmployed"/>
    <s v="Active"/>
    <x v="1"/>
    <s v="Peter Monroe"/>
    <n v="7"/>
    <s v="CareerBuilder"/>
    <s v="Fully Meets"/>
    <n v="3.81"/>
    <n v="3"/>
    <n v="6"/>
    <d v="2019-02-11T00:00:00"/>
    <n v="0"/>
    <n v="6"/>
    <s v="MID"/>
    <s v="MID"/>
    <s v="MID"/>
  </r>
  <r>
    <s v="Motlagh,  Dawn"/>
    <s v="Dawn"/>
    <s v="Motlagh"/>
    <n v="12"/>
    <s v="MID"/>
    <s v="Solid Performer"/>
    <x v="0"/>
    <n v="10254"/>
    <n v="0"/>
    <n v="2"/>
    <n v="0"/>
    <n v="1"/>
    <n v="5"/>
    <n v="3"/>
    <n v="0"/>
    <n v="63430"/>
    <n v="0"/>
    <n v="19"/>
    <s v="Production Technician I"/>
    <s v="MA"/>
    <n v="2453"/>
    <d v="1984-07-07T00:00:00"/>
    <s v="F"/>
    <s v="Divorced"/>
    <s v="US Citizen"/>
    <s v="No"/>
    <s v="White"/>
    <d v="2013-04-01T00:00:00"/>
    <m/>
    <s v="N/A-StillEmployed"/>
    <s v="Active"/>
    <x v="0"/>
    <s v="Elijiah Gray"/>
    <n v="16"/>
    <s v="LinkedIn"/>
    <s v="Fully Meets"/>
    <n v="4.4000000000000004"/>
    <n v="4"/>
    <n v="0"/>
    <d v="2019-01-17T00:00:00"/>
    <n v="0"/>
    <n v="18"/>
    <s v="MID"/>
    <s v="MID"/>
    <s v="MID"/>
  </r>
  <r>
    <s v="Moumanil, Maliki "/>
    <s v="Maliki"/>
    <s v="Moumanil"/>
    <n v="12"/>
    <s v="HIGH"/>
    <s v="Solid Performer"/>
    <x v="0"/>
    <n v="10120"/>
    <n v="0"/>
    <n v="3"/>
    <n v="1"/>
    <n v="1"/>
    <n v="5"/>
    <n v="3"/>
    <n v="0"/>
    <n v="74417"/>
    <n v="0"/>
    <n v="20"/>
    <s v="Production Technician II"/>
    <s v="MA"/>
    <n v="1460"/>
    <d v="1974-12-01T00:00:00"/>
    <s v="M "/>
    <s v="Separated"/>
    <s v="US Citizen"/>
    <s v="No"/>
    <s v="Black or African American"/>
    <d v="2013-05-13T00:00:00"/>
    <m/>
    <s v="N/A-StillEmployed"/>
    <s v="Active"/>
    <x v="0"/>
    <s v="Michael Albert"/>
    <n v="22"/>
    <s v="LinkedIn"/>
    <s v="Fully Meets"/>
    <n v="4.29"/>
    <n v="5"/>
    <n v="0"/>
    <d v="2019-01-28T00:00:00"/>
    <n v="0"/>
    <n v="11"/>
    <s v="HIGH"/>
    <s v="HIGH"/>
    <s v="HIGH"/>
  </r>
  <r>
    <s v="Myers, Michael"/>
    <s v="Michael"/>
    <s v="Myers"/>
    <n v="12"/>
    <s v="MID"/>
    <s v="Solid Performer"/>
    <x v="0"/>
    <n v="10216"/>
    <n v="0"/>
    <n v="0"/>
    <n v="1"/>
    <n v="1"/>
    <n v="5"/>
    <n v="3"/>
    <n v="0"/>
    <n v="57575"/>
    <n v="0"/>
    <n v="19"/>
    <s v="Production Technician I"/>
    <s v="MA"/>
    <n v="1550"/>
    <d v="1980-04-18T00:00:00"/>
    <s v="M "/>
    <s v="Single"/>
    <s v="US Citizen"/>
    <s v="No"/>
    <s v="Asian"/>
    <d v="2013-07-08T00:00:00"/>
    <m/>
    <s v="N/A-StillEmployed"/>
    <s v="Active"/>
    <x v="0"/>
    <s v="Kissy Sullivan"/>
    <n v="20"/>
    <s v="LinkedIn"/>
    <s v="Fully Meets"/>
    <n v="4.0999999999999996"/>
    <n v="4"/>
    <n v="0"/>
    <d v="2019-01-22T00:00:00"/>
    <n v="0"/>
    <n v="13"/>
    <s v="MID"/>
    <s v="MID"/>
    <s v="MID"/>
  </r>
  <r>
    <s v="Navathe, Kurt"/>
    <s v="Kurt"/>
    <s v="Navathe"/>
    <n v="9"/>
    <s v="HIGH"/>
    <s v="Solid Performer"/>
    <x v="0"/>
    <n v="10079"/>
    <n v="0"/>
    <n v="0"/>
    <n v="1"/>
    <n v="1"/>
    <n v="3"/>
    <n v="3"/>
    <n v="0"/>
    <n v="87921"/>
    <n v="0"/>
    <n v="22"/>
    <s v="Senior BI Developer"/>
    <s v="MA"/>
    <n v="2056"/>
    <d v="1970-04-25T00:00:00"/>
    <s v="M "/>
    <s v="Single"/>
    <s v="US Citizen"/>
    <s v="No"/>
    <s v="Asian"/>
    <d v="2017-02-10T00:00:00"/>
    <m/>
    <s v="N/A-StillEmployed"/>
    <s v="Active"/>
    <x v="1"/>
    <s v="Brian Champaigne"/>
    <n v="13"/>
    <s v="Indeed"/>
    <s v="Fully Meets"/>
    <n v="5"/>
    <n v="3"/>
    <n v="6"/>
    <d v="2019-02-25T00:00:00"/>
    <n v="0"/>
    <n v="17"/>
    <s v="HIGH"/>
    <s v="HIGH"/>
    <s v="HIGH"/>
  </r>
  <r>
    <s v="Ndzi, Colombui"/>
    <s v="Colombui"/>
    <s v="Ndzi"/>
    <n v="2"/>
    <s v="MID"/>
    <s v="Solid Performer"/>
    <x v="1"/>
    <n v="10215"/>
    <n v="0"/>
    <n v="0"/>
    <n v="1"/>
    <n v="5"/>
    <n v="5"/>
    <n v="3"/>
    <n v="1"/>
    <n v="50470"/>
    <n v="1"/>
    <n v="19"/>
    <s v="Production Technician I"/>
    <s v="MA"/>
    <n v="2110"/>
    <d v="1989-05-02T00:00:00"/>
    <s v="M "/>
    <s v="Single"/>
    <s v="US Citizen"/>
    <s v="No"/>
    <s v="Black or African American"/>
    <d v="2011-09-26T00:00:00"/>
    <d v="2014-04-04T00:00:00"/>
    <s v="return to school"/>
    <s v="Voluntarily Terminated"/>
    <x v="0"/>
    <s v="Webster Butler"/>
    <n v="39"/>
    <s v="Diversity Job Fair"/>
    <s v="Fully Meets"/>
    <n v="4.3"/>
    <n v="3"/>
    <n v="0"/>
    <d v="2013-03-02T00:00:00"/>
    <n v="0"/>
    <n v="19"/>
    <s v="MID"/>
    <s v="MID"/>
    <s v="MID"/>
  </r>
  <r>
    <s v="Ndzi, Horia"/>
    <s v="Horia"/>
    <s v="Ndzi"/>
    <n v="3"/>
    <s v="MID"/>
    <s v="Solid Performer"/>
    <x v="1"/>
    <n v="10185"/>
    <n v="1"/>
    <n v="1"/>
    <n v="1"/>
    <n v="5"/>
    <n v="5"/>
    <n v="3"/>
    <n v="0"/>
    <n v="46664"/>
    <n v="1"/>
    <n v="19"/>
    <s v="Production Technician I"/>
    <s v="MA"/>
    <n v="2421"/>
    <d v="1983-03-28T00:00:00"/>
    <s v="M "/>
    <s v="Married"/>
    <s v="US Citizen"/>
    <s v="No"/>
    <s v="White"/>
    <d v="2013-04-01T00:00:00"/>
    <d v="2016-05-25T00:00:00"/>
    <s v="more money"/>
    <s v="Voluntarily Terminated"/>
    <x v="0"/>
    <s v="Amy Dunn"/>
    <n v="11"/>
    <s v="Employee Referral"/>
    <s v="Fully Meets"/>
    <n v="3.18"/>
    <n v="3"/>
    <n v="0"/>
    <d v="2016-03-06T00:00:00"/>
    <n v="0"/>
    <n v="10"/>
    <s v="MID"/>
    <s v="MID"/>
    <s v="MID"/>
  </r>
  <r>
    <s v="Newman, Richard "/>
    <s v="Richard"/>
    <s v="Newman"/>
    <n v="11"/>
    <s v="MID"/>
    <s v="Solid Performer"/>
    <x v="0"/>
    <n v="10063"/>
    <n v="1"/>
    <n v="1"/>
    <n v="1"/>
    <n v="3"/>
    <n v="5"/>
    <n v="3"/>
    <n v="0"/>
    <n v="48495"/>
    <n v="0"/>
    <n v="19"/>
    <s v="Production Technician I"/>
    <s v="MA"/>
    <n v="2136"/>
    <d v="1977-04-08T00:00:00"/>
    <s v="M "/>
    <s v="Married"/>
    <s v="US Citizen"/>
    <s v="No"/>
    <s v="White"/>
    <d v="2014-05-12T00:00:00"/>
    <m/>
    <s v="N/A-StillEmployed"/>
    <s v="Active"/>
    <x v="0"/>
    <s v="Ketsia Liebig"/>
    <n v="19"/>
    <s v="LinkedIn"/>
    <s v="Fully Meets"/>
    <n v="5"/>
    <n v="5"/>
    <n v="0"/>
    <d v="2019-02-18T00:00:00"/>
    <n v="0"/>
    <n v="11"/>
    <s v="MID"/>
    <s v="MID"/>
    <s v="MID"/>
  </r>
  <r>
    <s v="Ngodup, Shari "/>
    <s v="Shari"/>
    <s v="Ngodup"/>
    <n v="12"/>
    <s v="MID"/>
    <s v="Top Performer"/>
    <x v="0"/>
    <n v="10037"/>
    <n v="0"/>
    <n v="3"/>
    <n v="0"/>
    <n v="1"/>
    <n v="5"/>
    <n v="4"/>
    <n v="1"/>
    <n v="52984"/>
    <n v="0"/>
    <n v="19"/>
    <s v="Production Technician I"/>
    <s v="MA"/>
    <n v="1810"/>
    <d v="1967-06-03T00:00:00"/>
    <s v="F"/>
    <s v="Separated"/>
    <s v="US Citizen"/>
    <s v="No"/>
    <s v="Black or African American"/>
    <d v="2013-04-01T00:00:00"/>
    <m/>
    <s v="N/A-StillEmployed"/>
    <s v="Active"/>
    <x v="0"/>
    <s v="Brannon Miller"/>
    <n v="12"/>
    <s v="Diversity Job Fair"/>
    <s v="Exceeds"/>
    <n v="4"/>
    <n v="3"/>
    <n v="0"/>
    <d v="2019-02-13T00:00:00"/>
    <n v="0"/>
    <n v="12"/>
    <s v="MID"/>
    <s v="MID"/>
    <s v="MID"/>
  </r>
  <r>
    <s v="Nguyen, Dheepa"/>
    <s v="Dheepa"/>
    <s v="Nguyen"/>
    <n v="12"/>
    <s v="MID"/>
    <s v="Solid Performer"/>
    <x v="0"/>
    <n v="10042"/>
    <n v="0"/>
    <n v="0"/>
    <n v="0"/>
    <n v="1"/>
    <n v="6"/>
    <n v="3"/>
    <n v="0"/>
    <n v="63695"/>
    <n v="0"/>
    <n v="3"/>
    <s v="Area Sales Manager"/>
    <s v="GA"/>
    <n v="30428"/>
    <d v="1989-03-31T00:00:00"/>
    <s v="F"/>
    <s v="Single"/>
    <s v="US Citizen"/>
    <s v="No"/>
    <s v="Two or more races"/>
    <d v="2013-07-08T00:00:00"/>
    <m/>
    <s v="N/A-StillEmployed"/>
    <s v="Active"/>
    <x v="4"/>
    <s v="Lynn Daneault"/>
    <n v="21"/>
    <s v="Indeed"/>
    <s v="Fully Meets"/>
    <n v="5"/>
    <n v="5"/>
    <n v="0"/>
    <d v="2019-01-25T00:00:00"/>
    <n v="0"/>
    <n v="2"/>
    <s v="MID"/>
    <s v="MID"/>
    <s v="MID"/>
  </r>
  <r>
    <s v="Nguyen, Lei-Ming"/>
    <s v="Lei-Ming"/>
    <s v="Nguyen"/>
    <n v="12"/>
    <s v="MID"/>
    <s v="Solid Performer"/>
    <x v="0"/>
    <n v="10206"/>
    <n v="0"/>
    <n v="0"/>
    <n v="0"/>
    <n v="1"/>
    <n v="5"/>
    <n v="3"/>
    <n v="0"/>
    <n v="62061"/>
    <n v="0"/>
    <n v="19"/>
    <s v="Production Technician I"/>
    <s v="MA"/>
    <n v="2132"/>
    <d v="1984-07-07T00:00:00"/>
    <s v="F"/>
    <s v="Single"/>
    <s v="US Citizen"/>
    <s v="No"/>
    <s v="White"/>
    <d v="2013-07-08T00:00:00"/>
    <m/>
    <s v="N/A-StillEmployed"/>
    <s v="Active"/>
    <x v="0"/>
    <s v="David Stanley"/>
    <n v="14"/>
    <s v="LinkedIn"/>
    <s v="Fully Meets"/>
    <n v="3.6"/>
    <n v="5"/>
    <n v="0"/>
    <d v="2019-01-02T00:00:00"/>
    <n v="0"/>
    <n v="4"/>
    <s v="MID"/>
    <s v="MID"/>
    <s v="MID"/>
  </r>
  <r>
    <s v="Nowlan, Kristie"/>
    <s v="Kristie"/>
    <s v="Nowlan"/>
    <n v="11"/>
    <s v="MID"/>
    <s v="Solid Performer"/>
    <x v="0"/>
    <n v="10104"/>
    <n v="0"/>
    <n v="0"/>
    <n v="0"/>
    <n v="1"/>
    <n v="5"/>
    <n v="3"/>
    <n v="0"/>
    <n v="66738"/>
    <n v="0"/>
    <n v="20"/>
    <s v="Production Technician II"/>
    <s v="MA"/>
    <n v="1040"/>
    <d v="1985-11-23T00:00:00"/>
    <s v="F"/>
    <s v="Single"/>
    <s v="US Citizen"/>
    <s v="No"/>
    <s v="White"/>
    <d v="2014-11-10T00:00:00"/>
    <m/>
    <s v="N/A-StillEmployed"/>
    <s v="Active"/>
    <x v="0"/>
    <s v="Elijiah Gray"/>
    <n v="16"/>
    <s v="Indeed"/>
    <s v="Fully Meets"/>
    <n v="4.53"/>
    <n v="5"/>
    <n v="0"/>
    <d v="2019-01-16T00:00:00"/>
    <n v="0"/>
    <n v="5"/>
    <s v="MID"/>
    <s v="MID"/>
    <s v="MID"/>
  </r>
  <r>
    <s v="O'hare, Lynn"/>
    <s v="Lynn"/>
    <s v="O'hare"/>
    <n v="4"/>
    <s v="MID"/>
    <s v="At Risk"/>
    <x v="2"/>
    <n v="10303"/>
    <n v="0"/>
    <n v="0"/>
    <n v="0"/>
    <n v="4"/>
    <n v="5"/>
    <n v="1"/>
    <n v="0"/>
    <n v="52674"/>
    <n v="1"/>
    <n v="19"/>
    <s v="Production Technician I"/>
    <s v="MA"/>
    <n v="2152"/>
    <d v="1980-09-30T00:00:00"/>
    <s v="F"/>
    <s v="Single"/>
    <s v="US Citizen"/>
    <s v="No"/>
    <s v="Two or more races"/>
    <d v="2014-03-31T00:00:00"/>
    <d v="2018-05-01T00:00:00"/>
    <s v="performance"/>
    <s v="Terminated for Cause"/>
    <x v="0"/>
    <s v="Kissy Sullivan"/>
    <n v="20"/>
    <s v="LinkedIn"/>
    <s v="PIP"/>
    <n v="2.33"/>
    <n v="2"/>
    <n v="0"/>
    <d v="2018-03-09T00:00:00"/>
    <n v="6"/>
    <n v="3"/>
    <s v="MID"/>
    <s v="MID"/>
    <s v="MID"/>
  </r>
  <r>
    <s v="Oliver, Brooke "/>
    <s v="Brooke"/>
    <s v="Oliver"/>
    <n v="1"/>
    <s v="HIGH"/>
    <s v="Solid Performer"/>
    <x v="1"/>
    <n v="10078"/>
    <n v="1"/>
    <n v="1"/>
    <n v="0"/>
    <n v="5"/>
    <n v="5"/>
    <n v="3"/>
    <n v="0"/>
    <n v="71966"/>
    <n v="1"/>
    <n v="20"/>
    <s v="Production Technician II"/>
    <s v="MA"/>
    <n v="2492"/>
    <d v="1952-02-11T00:00:00"/>
    <s v="F"/>
    <s v="Married"/>
    <s v="US Citizen"/>
    <s v="No"/>
    <s v="Asian"/>
    <d v="2012-05-14T00:00:00"/>
    <d v="2013-08-19T00:00:00"/>
    <s v="unhappy"/>
    <s v="Voluntarily Terminated"/>
    <x v="0"/>
    <s v="Webster Butler"/>
    <n v="39"/>
    <s v="LinkedIn"/>
    <s v="Fully Meets"/>
    <n v="5"/>
    <n v="3"/>
    <n v="0"/>
    <d v="2013-07-02T00:00:00"/>
    <n v="0"/>
    <n v="17"/>
    <s v="HIGH"/>
    <s v="HIGH"/>
    <s v="HIGH"/>
  </r>
  <r>
    <s v="Onque, Jasmine"/>
    <s v="Jasmine"/>
    <s v="Onque"/>
    <n v="12"/>
    <s v="MID"/>
    <s v="Solid Performer"/>
    <x v="0"/>
    <n v="10121"/>
    <n v="0"/>
    <n v="0"/>
    <n v="0"/>
    <n v="1"/>
    <n v="6"/>
    <n v="3"/>
    <n v="0"/>
    <n v="63051"/>
    <n v="0"/>
    <n v="3"/>
    <s v="Area Sales Manager"/>
    <s v="FL"/>
    <n v="33174"/>
    <d v="1990-05-11T00:00:00"/>
    <s v="F"/>
    <s v="Single"/>
    <s v="US Citizen"/>
    <s v="Yes"/>
    <s v="White"/>
    <d v="2013-09-30T00:00:00"/>
    <m/>
    <s v="N/A-StillEmployed"/>
    <s v="Active"/>
    <x v="4"/>
    <s v="Lynn Daneault"/>
    <n v="21"/>
    <s v="Indeed"/>
    <s v="Fully Meets"/>
    <n v="4.28"/>
    <n v="3"/>
    <n v="0"/>
    <d v="2019-01-25T00:00:00"/>
    <n v="0"/>
    <n v="1"/>
    <s v="MID"/>
    <s v="MID"/>
    <s v="MID"/>
  </r>
  <r>
    <s v="Osturnka, Adeel"/>
    <s v="Adeel"/>
    <s v="Osturnka"/>
    <n v="12"/>
    <s v="MID"/>
    <s v="Top Performer"/>
    <x v="0"/>
    <n v="10021"/>
    <n v="1"/>
    <n v="1"/>
    <n v="1"/>
    <n v="1"/>
    <n v="5"/>
    <n v="4"/>
    <n v="0"/>
    <n v="47414"/>
    <n v="0"/>
    <n v="19"/>
    <s v="Production Technician I"/>
    <s v="MA"/>
    <n v="2478"/>
    <d v="1976-12-11T00:00:00"/>
    <s v="M "/>
    <s v="Married"/>
    <s v="US Citizen"/>
    <s v="No"/>
    <s v="White"/>
    <d v="2013-09-30T00:00:00"/>
    <m/>
    <s v="N/A-StillEmployed"/>
    <s v="Active"/>
    <x v="0"/>
    <s v="Kelley Spirea"/>
    <n v="18"/>
    <s v="LinkedIn"/>
    <s v="Exceeds"/>
    <n v="5"/>
    <n v="3"/>
    <n v="0"/>
    <d v="2019-02-07T00:00:00"/>
    <n v="0"/>
    <n v="13"/>
    <s v="MID"/>
    <s v="MID"/>
    <s v="MID"/>
  </r>
  <r>
    <s v="Owad, Clinton"/>
    <s v="Clinton"/>
    <s v="Owad"/>
    <n v="12"/>
    <s v="MID"/>
    <s v="Underperformer"/>
    <x v="0"/>
    <n v="10281"/>
    <n v="0"/>
    <n v="0"/>
    <n v="1"/>
    <n v="1"/>
    <n v="5"/>
    <n v="2"/>
    <n v="0"/>
    <n v="53060"/>
    <n v="0"/>
    <n v="19"/>
    <s v="Production Technician I"/>
    <s v="MA"/>
    <n v="1760"/>
    <d v="1979-11-24T00:00:00"/>
    <s v="M "/>
    <s v="Single"/>
    <s v="US Citizen"/>
    <s v="No"/>
    <s v="Black or African American"/>
    <d v="2014-02-17T00:00:00"/>
    <m/>
    <s v="N/A-StillEmployed"/>
    <s v="Active"/>
    <x v="0"/>
    <s v="Michael Albert"/>
    <n v="22"/>
    <s v="LinkedIn"/>
    <s v="Needs Improvement"/>
    <n v="4.25"/>
    <n v="3"/>
    <n v="0"/>
    <d v="2019-02-04T00:00:00"/>
    <n v="4"/>
    <n v="6"/>
    <s v="MID"/>
    <s v="MID"/>
    <s v="MID"/>
  </r>
  <r>
    <s v="Ozark, Travis"/>
    <s v="Travis"/>
    <s v="Ozark"/>
    <n v="11"/>
    <s v="MID"/>
    <s v="Solid Performer"/>
    <x v="0"/>
    <n v="10041"/>
    <n v="0"/>
    <n v="0"/>
    <n v="1"/>
    <n v="1"/>
    <n v="6"/>
    <n v="3"/>
    <n v="0"/>
    <n v="68829"/>
    <n v="0"/>
    <n v="3"/>
    <s v="Area Sales Manager"/>
    <s v="NC"/>
    <n v="27229"/>
    <d v="1982-05-19T00:00:00"/>
    <s v="M "/>
    <s v="Single"/>
    <s v="US Citizen"/>
    <s v="No"/>
    <s v="White"/>
    <d v="2015-01-05T00:00:00"/>
    <m/>
    <s v="N/A-StillEmployed"/>
    <s v="Active"/>
    <x v="4"/>
    <s v="John Smith"/>
    <n v="17"/>
    <s v="Website"/>
    <s v="Fully Meets"/>
    <n v="5"/>
    <n v="5"/>
    <n v="0"/>
    <d v="2019-01-14T00:00:00"/>
    <n v="0"/>
    <n v="18"/>
    <s v="MID"/>
    <s v="MID"/>
    <s v="MID"/>
  </r>
  <r>
    <s v="Panjwani, Nina"/>
    <s v="Nina"/>
    <s v="Panjwani"/>
    <n v="2"/>
    <s v="MID"/>
    <s v="Solid Performer"/>
    <x v="1"/>
    <n v="10148"/>
    <n v="1"/>
    <n v="1"/>
    <n v="0"/>
    <n v="5"/>
    <n v="5"/>
    <n v="3"/>
    <n v="0"/>
    <n v="63515"/>
    <n v="1"/>
    <n v="19"/>
    <s v="Production Technician I"/>
    <s v="MA"/>
    <n v="2351"/>
    <d v="1979-05-01T00:00:00"/>
    <s v="F"/>
    <s v="Married"/>
    <s v="US Citizen"/>
    <s v="No"/>
    <s v="White"/>
    <d v="2011-02-07T00:00:00"/>
    <d v="2014-01-12T00:00:00"/>
    <s v="Another position"/>
    <s v="Voluntarily Terminated"/>
    <x v="0"/>
    <s v="Elijiah Gray"/>
    <n v="16"/>
    <s v="Google Search"/>
    <s v="Fully Meets"/>
    <n v="3.89"/>
    <n v="4"/>
    <n v="0"/>
    <d v="2013-03-04T00:00:00"/>
    <n v="0"/>
    <n v="7"/>
    <s v="MID"/>
    <s v="MID"/>
    <s v="MID"/>
  </r>
  <r>
    <s v="Patronick, Lucas"/>
    <s v="Lucas"/>
    <s v="Patronick"/>
    <n v="3"/>
    <s v="Executive"/>
    <s v="Top Performer"/>
    <x v="1"/>
    <n v="10005"/>
    <n v="0"/>
    <n v="0"/>
    <n v="1"/>
    <n v="5"/>
    <n v="4"/>
    <n v="4"/>
    <n v="1"/>
    <n v="108987"/>
    <n v="1"/>
    <n v="24"/>
    <s v="Software Engineer"/>
    <s v="MA"/>
    <n v="1844"/>
    <d v="1979-02-20T00:00:00"/>
    <s v="M "/>
    <s v="Single"/>
    <s v="US Citizen"/>
    <s v="No"/>
    <s v="Black or African American"/>
    <d v="2011-11-07T00:00:00"/>
    <d v="2015-09-07T00:00:00"/>
    <s v="Another position"/>
    <s v="Voluntarily Terminated"/>
    <x v="2"/>
    <s v="Alex Sweetwater"/>
    <n v="10"/>
    <s v="Diversity Job Fair"/>
    <s v="Exceeds"/>
    <n v="5"/>
    <n v="5"/>
    <n v="3"/>
    <d v="2015-08-16T00:00:00"/>
    <n v="0"/>
    <n v="13"/>
    <s v="Executive"/>
    <s v="Executive"/>
    <s v="Executive"/>
  </r>
  <r>
    <s v="Pearson, Randall"/>
    <s v="Randall"/>
    <s v="Pearson"/>
    <n v="1"/>
    <s v="HIGH"/>
    <s v="Solid Performer"/>
    <x v="1"/>
    <n v="10259"/>
    <n v="1"/>
    <n v="1"/>
    <n v="1"/>
    <n v="5"/>
    <n v="3"/>
    <n v="3"/>
    <n v="0"/>
    <n v="93093"/>
    <n v="1"/>
    <n v="9"/>
    <s v="Data Analyst"/>
    <s v="MA"/>
    <n v="2747"/>
    <d v="1984-09-05T00:00:00"/>
    <s v="M "/>
    <s v="Married"/>
    <s v="US Citizen"/>
    <s v="No"/>
    <s v="White"/>
    <d v="2014-12-01T00:00:00"/>
    <d v="2016-05-01T00:00:00"/>
    <s v="performance"/>
    <s v="Voluntarily Terminated"/>
    <x v="1"/>
    <s v="Simon Roup"/>
    <n v="4"/>
    <s v="Employee Referral"/>
    <s v="Fully Meets"/>
    <n v="4.7"/>
    <n v="4"/>
    <n v="5"/>
    <d v="2016-01-16T00:00:00"/>
    <n v="0"/>
    <n v="19"/>
    <s v="HIGH"/>
    <s v="HIGH"/>
    <s v="HIGH"/>
  </r>
  <r>
    <s v="Smith, Martin"/>
    <s v="Martin"/>
    <s v="Smith"/>
    <n v="6"/>
    <s v="MID"/>
    <s v="Underperformer"/>
    <x v="1"/>
    <n v="10286"/>
    <n v="0"/>
    <n v="0"/>
    <n v="1"/>
    <n v="5"/>
    <n v="5"/>
    <n v="2"/>
    <n v="0"/>
    <n v="53564"/>
    <n v="1"/>
    <n v="19"/>
    <s v="Production Technician I"/>
    <s v="MA"/>
    <n v="2458"/>
    <d v="1988-03-17T00:00:00"/>
    <s v="M "/>
    <s v="Single"/>
    <s v="US Citizen"/>
    <s v="No"/>
    <s v="Black or African American"/>
    <d v="2011-01-10T00:00:00"/>
    <d v="2017-12-28T00:00:00"/>
    <s v="career change"/>
    <s v="Voluntarily Terminated"/>
    <x v="0"/>
    <s v="Webster Butler"/>
    <n v="39"/>
    <s v="Google Search"/>
    <s v="Needs Improvement"/>
    <n v="3.54"/>
    <n v="5"/>
    <n v="0"/>
    <d v="2017-04-06T00:00:00"/>
    <n v="4"/>
    <n v="15"/>
    <s v="MID"/>
    <s v="MID"/>
    <s v="MID"/>
  </r>
  <r>
    <s v="Pelletier, Ermine"/>
    <s v="Ermine"/>
    <s v="Pelletier"/>
    <n v="4"/>
    <s v="MID"/>
    <s v="Underperformer"/>
    <x v="1"/>
    <n v="10297"/>
    <n v="1"/>
    <n v="1"/>
    <n v="0"/>
    <n v="5"/>
    <n v="5"/>
    <n v="2"/>
    <n v="0"/>
    <n v="60270"/>
    <n v="1"/>
    <n v="20"/>
    <s v="Production Technician II"/>
    <s v="MA"/>
    <n v="2472"/>
    <d v="1989-07-18T00:00:00"/>
    <s v="F"/>
    <s v="Married"/>
    <s v="US Citizen"/>
    <s v="No"/>
    <s v="Asian"/>
    <d v="2011-07-05T00:00:00"/>
    <d v="2015-09-15T00:00:00"/>
    <s v="unhappy"/>
    <s v="Voluntarily Terminated"/>
    <x v="0"/>
    <s v="Amy Dunn"/>
    <n v="11"/>
    <s v="CareerBuilder"/>
    <s v="Needs Improvement"/>
    <n v="2.4"/>
    <n v="5"/>
    <n v="0"/>
    <d v="2015-02-06T00:00:00"/>
    <n v="5"/>
    <n v="2"/>
    <s v="MID"/>
    <s v="MID"/>
    <s v="MID"/>
  </r>
  <r>
    <s v="Perry, Shakira"/>
    <s v="Shakira"/>
    <s v="Perry"/>
    <n v="4"/>
    <s v="MID"/>
    <s v="Solid Performer"/>
    <x v="1"/>
    <n v="10171"/>
    <n v="0"/>
    <n v="0"/>
    <n v="0"/>
    <n v="5"/>
    <n v="5"/>
    <n v="3"/>
    <n v="0"/>
    <n v="45998"/>
    <n v="1"/>
    <n v="19"/>
    <s v="Production Technician I"/>
    <s v="MA"/>
    <n v="2176"/>
    <d v="1986-07-20T00:00:00"/>
    <s v="F"/>
    <s v="Single"/>
    <s v="US Citizen"/>
    <s v="No"/>
    <s v="White"/>
    <d v="2011-05-16T00:00:00"/>
    <d v="2015-10-25T00:00:00"/>
    <s v="medical issues"/>
    <s v="Voluntarily Terminated"/>
    <x v="0"/>
    <s v="Amy Dunn"/>
    <n v="11"/>
    <s v="LinkedIn"/>
    <s v="Fully Meets"/>
    <n v="3.45"/>
    <n v="4"/>
    <n v="0"/>
    <d v="2014-05-13T00:00:00"/>
    <n v="0"/>
    <n v="5"/>
    <s v="MID"/>
    <s v="MID"/>
    <s v="MID"/>
  </r>
  <r>
    <s v="Peters, Lauren"/>
    <s v="Lauren"/>
    <s v="Peters"/>
    <n v="1"/>
    <s v="MID"/>
    <s v="Top Performer"/>
    <x v="1"/>
    <n v="10032"/>
    <n v="1"/>
    <n v="1"/>
    <n v="0"/>
    <n v="5"/>
    <n v="5"/>
    <n v="4"/>
    <n v="0"/>
    <n v="57954"/>
    <n v="1"/>
    <n v="20"/>
    <s v="Production Technician II"/>
    <s v="MA"/>
    <n v="1886"/>
    <d v="1986-08-17T00:00:00"/>
    <s v="F"/>
    <s v="Married"/>
    <s v="US Citizen"/>
    <s v="No"/>
    <s v="White"/>
    <d v="2011-05-16T00:00:00"/>
    <d v="2013-02-04T00:00:00"/>
    <s v="more money"/>
    <s v="Voluntarily Terminated"/>
    <x v="0"/>
    <s v="Ketsia Liebig"/>
    <n v="19"/>
    <s v="Indeed"/>
    <s v="Exceeds"/>
    <n v="4.2"/>
    <n v="5"/>
    <n v="0"/>
    <d v="2013-01-10T00:00:00"/>
    <n v="0"/>
    <n v="12"/>
    <s v="MID"/>
    <s v="MID"/>
    <s v="MID"/>
  </r>
  <r>
    <s v="Peterson, Ebonee  "/>
    <s v="Ebonee"/>
    <s v="Peterson"/>
    <n v="5"/>
    <s v="HIGH"/>
    <s v="Solid Performer"/>
    <x v="1"/>
    <n v="10130"/>
    <n v="1"/>
    <n v="1"/>
    <n v="0"/>
    <n v="5"/>
    <n v="5"/>
    <n v="3"/>
    <n v="0"/>
    <n v="74669"/>
    <n v="1"/>
    <n v="18"/>
    <s v="Production Manager"/>
    <s v="MA"/>
    <n v="2030"/>
    <d v="1977-05-09T00:00:00"/>
    <s v="F"/>
    <s v="Married"/>
    <s v="US Citizen"/>
    <s v="No"/>
    <s v="White"/>
    <d v="2010-10-25T00:00:00"/>
    <d v="2016-05-18T00:00:00"/>
    <s v="Another position"/>
    <s v="Voluntarily Terminated"/>
    <x v="0"/>
    <s v="Janet King"/>
    <n v="2"/>
    <s v="Indeed"/>
    <s v="Fully Meets"/>
    <n v="4.16"/>
    <n v="5"/>
    <n v="0"/>
    <d v="2015-03-05T00:00:00"/>
    <n v="0"/>
    <n v="6"/>
    <s v="HIGH"/>
    <s v="HIGH"/>
    <s v="HIGH"/>
  </r>
  <r>
    <s v="Petingill, Shana  "/>
    <s v="Shana"/>
    <s v="Petingill"/>
    <n v="13"/>
    <s v="HIGH"/>
    <s v="Solid Performer"/>
    <x v="0"/>
    <n v="10217"/>
    <n v="1"/>
    <n v="1"/>
    <n v="0"/>
    <n v="1"/>
    <n v="5"/>
    <n v="3"/>
    <n v="0"/>
    <n v="74226"/>
    <n v="0"/>
    <n v="20"/>
    <s v="Production Technician II"/>
    <s v="MA"/>
    <n v="2050"/>
    <d v="1979-03-10T00:00:00"/>
    <s v="F"/>
    <s v="Married"/>
    <s v="Eligible NonCitizen"/>
    <s v="No"/>
    <s v="Asian"/>
    <d v="2012-04-02T00:00:00"/>
    <m/>
    <s v="N/A-StillEmployed"/>
    <s v="Active"/>
    <x v="0"/>
    <s v="Brannon Miller"/>
    <n v="12"/>
    <s v="LinkedIn"/>
    <s v="Fully Meets"/>
    <n v="4.3"/>
    <n v="3"/>
    <n v="0"/>
    <d v="2019-01-14T00:00:00"/>
    <n v="0"/>
    <n v="14"/>
    <s v="HIGH"/>
    <s v="HIGH"/>
    <s v="HIGH"/>
  </r>
  <r>
    <s v="Petrowsky, Thelma"/>
    <s v="Thelma"/>
    <s v="Petrowsky"/>
    <n v="11"/>
    <s v="HIGH"/>
    <s v="Top Performer"/>
    <x v="0"/>
    <n v="10016"/>
    <n v="1"/>
    <n v="1"/>
    <n v="0"/>
    <n v="1"/>
    <n v="3"/>
    <n v="4"/>
    <n v="0"/>
    <n v="93554"/>
    <n v="0"/>
    <n v="9"/>
    <s v="Data Analyst"/>
    <s v="MA"/>
    <n v="1886"/>
    <d v="1984-09-16T00:00:00"/>
    <s v="F"/>
    <s v="Married"/>
    <s v="US Citizen"/>
    <s v="No"/>
    <s v="Black or African American"/>
    <d v="2014-11-10T00:00:00"/>
    <m/>
    <s v="N/A-StillEmployed"/>
    <s v="Active"/>
    <x v="1"/>
    <s v="Simon Roup"/>
    <n v="4"/>
    <s v="Employee Referral"/>
    <s v="Exceeds"/>
    <n v="4.5999999999999996"/>
    <n v="5"/>
    <n v="7"/>
    <d v="2019-01-04T00:00:00"/>
    <n v="0"/>
    <n v="16"/>
    <s v="HIGH"/>
    <s v="HIGH"/>
    <s v="HIGH"/>
  </r>
  <r>
    <s v="Pham, Hong"/>
    <s v="Hong"/>
    <s v="Pham"/>
    <n v="1"/>
    <s v="MID"/>
    <s v="Solid Performer"/>
    <x v="1"/>
    <n v="10050"/>
    <n v="1"/>
    <n v="1"/>
    <n v="1"/>
    <n v="5"/>
    <n v="5"/>
    <n v="3"/>
    <n v="0"/>
    <n v="64724"/>
    <n v="1"/>
    <n v="19"/>
    <s v="Production Technician I"/>
    <s v="MA"/>
    <n v="2451"/>
    <d v="1988-03-06T00:00:00"/>
    <s v="M "/>
    <s v="Married"/>
    <s v="US Citizen"/>
    <s v="No"/>
    <s v="Asian"/>
    <d v="2011-07-05T00:00:00"/>
    <d v="2012-11-30T00:00:00"/>
    <s v="more money"/>
    <s v="Voluntarily Terminated"/>
    <x v="0"/>
    <s v="Brannon Miller"/>
    <n v="12"/>
    <s v="Google Search"/>
    <s v="Fully Meets"/>
    <n v="5"/>
    <n v="3"/>
    <n v="0"/>
    <d v="2012-02-20T00:00:00"/>
    <n v="0"/>
    <n v="13"/>
    <s v="MID"/>
    <s v="MID"/>
    <s v="MID"/>
  </r>
  <r>
    <s v="Pitt, Brad "/>
    <s v="Brad"/>
    <s v="Pitt"/>
    <n v="18"/>
    <s v="MID"/>
    <s v="Solid Performer"/>
    <x v="0"/>
    <n v="10164"/>
    <n v="0"/>
    <n v="0"/>
    <n v="1"/>
    <n v="1"/>
    <n v="5"/>
    <n v="3"/>
    <n v="0"/>
    <n v="47001"/>
    <n v="0"/>
    <n v="19"/>
    <s v="Production Technician I"/>
    <s v="MA"/>
    <n v="2451"/>
    <d v="1981-11-23T00:00:00"/>
    <s v="M "/>
    <s v="Single"/>
    <s v="US Citizen"/>
    <s v="No"/>
    <s v="White"/>
    <d v="2007-11-05T00:00:00"/>
    <m/>
    <s v="N/A-StillEmployed"/>
    <s v="Active"/>
    <x v="0"/>
    <s v="David Stanley"/>
    <n v="14"/>
    <s v="Google Search"/>
    <s v="Fully Meets"/>
    <n v="3.66"/>
    <n v="3"/>
    <n v="0"/>
    <d v="2019-02-25T00:00:00"/>
    <n v="0"/>
    <n v="15"/>
    <s v="MID"/>
    <s v="MID"/>
    <s v="MID"/>
  </r>
  <r>
    <s v="Potts, Xana"/>
    <s v="Xana"/>
    <s v="Potts"/>
    <n v="14"/>
    <s v="MID"/>
    <s v="Solid Performer"/>
    <x v="0"/>
    <n v="10124"/>
    <n v="1"/>
    <n v="1"/>
    <n v="0"/>
    <n v="1"/>
    <n v="6"/>
    <n v="3"/>
    <n v="0"/>
    <n v="61844"/>
    <n v="0"/>
    <n v="3"/>
    <s v="Area Sales Manager"/>
    <s v="KY"/>
    <n v="40220"/>
    <d v="1988-08-29T00:00:00"/>
    <s v="F"/>
    <s v="Married"/>
    <s v="US Citizen"/>
    <s v="No"/>
    <s v="Black or African American"/>
    <d v="2012-01-09T00:00:00"/>
    <m/>
    <s v="N/A-StillEmployed"/>
    <s v="Active"/>
    <x v="4"/>
    <s v="Lynn Daneault"/>
    <n v="21"/>
    <s v="Website"/>
    <s v="Fully Meets"/>
    <n v="4.2"/>
    <n v="5"/>
    <n v="0"/>
    <d v="2019-02-01T00:00:00"/>
    <n v="0"/>
    <n v="9"/>
    <s v="MID"/>
    <s v="MID"/>
    <s v="MID"/>
  </r>
  <r>
    <s v="Power, Morissa"/>
    <s v="Morissa"/>
    <s v="Power"/>
    <n v="7"/>
    <s v="MID"/>
    <s v="Solid Performer"/>
    <x v="1"/>
    <n v="10187"/>
    <n v="0"/>
    <n v="2"/>
    <n v="0"/>
    <n v="5"/>
    <n v="5"/>
    <n v="3"/>
    <n v="0"/>
    <n v="46799"/>
    <n v="1"/>
    <n v="19"/>
    <s v="Production Technician I"/>
    <s v="MA"/>
    <n v="1742"/>
    <d v="1984-10-15T00:00:00"/>
    <s v="F"/>
    <s v="Divorced"/>
    <s v="Eligible NonCitizen"/>
    <s v="No"/>
    <s v="Asian"/>
    <d v="2011-05-16T00:00:00"/>
    <d v="2018-06-04T00:00:00"/>
    <s v="Another position"/>
    <s v="Voluntarily Terminated"/>
    <x v="0"/>
    <s v="Kissy Sullivan"/>
    <n v="20"/>
    <s v="Google Search"/>
    <s v="Fully Meets"/>
    <n v="3.17"/>
    <n v="4"/>
    <n v="0"/>
    <d v="2018-04-02T00:00:00"/>
    <n v="0"/>
    <n v="14"/>
    <s v="MID"/>
    <s v="MID"/>
    <s v="MID"/>
  </r>
  <r>
    <s v="Punjabhi, Louis  "/>
    <s v="Louis"/>
    <s v="Punjabhi"/>
    <n v="12"/>
    <s v="MID"/>
    <s v="Solid Performer"/>
    <x v="0"/>
    <n v="10225"/>
    <n v="0"/>
    <n v="0"/>
    <n v="1"/>
    <n v="1"/>
    <n v="5"/>
    <n v="3"/>
    <n v="0"/>
    <n v="59472"/>
    <n v="0"/>
    <n v="19"/>
    <s v="Production Technician I"/>
    <s v="MA"/>
    <n v="2109"/>
    <d v="1961-06-19T00:00:00"/>
    <s v="M "/>
    <s v="Single"/>
    <s v="US Citizen"/>
    <s v="No"/>
    <s v="White"/>
    <d v="2014-01-06T00:00:00"/>
    <m/>
    <s v="N/A-StillEmployed"/>
    <s v="Active"/>
    <x v="0"/>
    <s v="Kelley Spirea"/>
    <n v="18"/>
    <s v="Employee Referral"/>
    <s v="Fully Meets"/>
    <n v="4.8"/>
    <n v="3"/>
    <n v="0"/>
    <d v="2019-01-07T00:00:00"/>
    <n v="0"/>
    <n v="14"/>
    <s v="MID"/>
    <s v="MID"/>
    <s v="MID"/>
  </r>
  <r>
    <s v="Purinton, Janine"/>
    <s v="Janine"/>
    <s v="Purinton"/>
    <n v="0"/>
    <s v="MID"/>
    <s v="Solid Performer"/>
    <x v="1"/>
    <n v="10262"/>
    <n v="0"/>
    <n v="2"/>
    <n v="0"/>
    <n v="5"/>
    <n v="5"/>
    <n v="3"/>
    <n v="0"/>
    <n v="46430"/>
    <n v="1"/>
    <n v="19"/>
    <s v="Production Technician I"/>
    <s v="MA"/>
    <n v="2474"/>
    <d v="1970-09-22T00:00:00"/>
    <s v="F"/>
    <s v="Divorced"/>
    <s v="US Citizen"/>
    <s v="No"/>
    <s v="White"/>
    <d v="2012-09-24T00:00:00"/>
    <d v="2013-06-18T00:00:00"/>
    <s v="unhappy"/>
    <s v="Voluntarily Terminated"/>
    <x v="0"/>
    <s v="Kissy Sullivan"/>
    <n v="20"/>
    <s v="Indeed"/>
    <s v="Fully Meets"/>
    <n v="4.5"/>
    <n v="5"/>
    <n v="0"/>
    <d v="2013-04-02T00:00:00"/>
    <n v="0"/>
    <n v="16"/>
    <s v="MID"/>
    <s v="MID"/>
    <s v="MID"/>
  </r>
  <r>
    <s v="Quinn, Sean"/>
    <s v="Sean"/>
    <s v="Quinn"/>
    <n v="4"/>
    <s v="HIGH"/>
    <s v="Solid Performer"/>
    <x v="1"/>
    <n v="10131"/>
    <n v="1"/>
    <n v="1"/>
    <n v="1"/>
    <n v="5"/>
    <n v="1"/>
    <n v="3"/>
    <n v="1"/>
    <n v="83363"/>
    <n v="1"/>
    <n v="23"/>
    <s v="Software Engineer"/>
    <s v="MA"/>
    <n v="2045"/>
    <d v="1984-11-06T00:00:00"/>
    <s v="M "/>
    <s v="Married"/>
    <s v="Eligible NonCitizen"/>
    <s v="No"/>
    <s v="Black or African American"/>
    <d v="2011-02-21T00:00:00"/>
    <d v="2015-08-15T00:00:00"/>
    <s v="career change"/>
    <s v="Voluntarily Terminated"/>
    <x v="2"/>
    <s v="Janet King"/>
    <n v="2"/>
    <s v="Diversity Job Fair"/>
    <s v="Fully Meets"/>
    <n v="4.1500000000000004"/>
    <n v="4"/>
    <n v="0"/>
    <d v="2014-04-19T00:00:00"/>
    <n v="0"/>
    <n v="4"/>
    <s v="HIGH"/>
    <s v="HIGH"/>
    <s v="HIGH"/>
  </r>
  <r>
    <s v="Rachael, Maggie"/>
    <s v="Maggie"/>
    <s v="Rachael"/>
    <n v="9"/>
    <s v="HIGH"/>
    <s v="Solid Performer"/>
    <x v="0"/>
    <n v="10239"/>
    <n v="1"/>
    <n v="1"/>
    <n v="0"/>
    <n v="1"/>
    <n v="3"/>
    <n v="3"/>
    <n v="0"/>
    <n v="95920"/>
    <n v="0"/>
    <n v="4"/>
    <s v="BI Developer"/>
    <s v="MA"/>
    <n v="2110"/>
    <d v="1980-05-12T00:00:00"/>
    <s v="F"/>
    <s v="Married"/>
    <s v="US Citizen"/>
    <s v="No"/>
    <s v="Black or African American"/>
    <d v="2016-10-02T00:00:00"/>
    <m/>
    <s v="N/A-StillEmployed"/>
    <s v="Active"/>
    <x v="1"/>
    <s v="Brian Champaigne"/>
    <n v="13"/>
    <s v="Indeed"/>
    <s v="Fully Meets"/>
    <n v="4.4000000000000004"/>
    <n v="4"/>
    <n v="6"/>
    <d v="2019-02-06T00:00:00"/>
    <n v="0"/>
    <n v="10"/>
    <s v="HIGH"/>
    <s v="HIGH"/>
    <s v="HIGH"/>
  </r>
  <r>
    <s v="Rarrick, Quinn"/>
    <s v="Quinn"/>
    <s v="Rarrick"/>
    <n v="6"/>
    <s v="MID"/>
    <s v="Solid Performer"/>
    <x v="1"/>
    <n v="10152"/>
    <n v="0"/>
    <n v="2"/>
    <n v="1"/>
    <n v="5"/>
    <n v="5"/>
    <n v="3"/>
    <n v="0"/>
    <n v="61729"/>
    <n v="1"/>
    <n v="19"/>
    <s v="Production Technician I"/>
    <s v="MA"/>
    <n v="2478"/>
    <d v="1984-12-31T00:00:00"/>
    <s v="M "/>
    <s v="Divorced"/>
    <s v="US Citizen"/>
    <s v="No"/>
    <s v="White"/>
    <d v="2011-09-26T00:00:00"/>
    <d v="2018-04-07T00:00:00"/>
    <s v="more money"/>
    <s v="Voluntarily Terminated"/>
    <x v="0"/>
    <s v="Michael Albert"/>
    <n v="22"/>
    <s v="Indeed"/>
    <s v="Fully Meets"/>
    <n v="3.8"/>
    <n v="5"/>
    <n v="0"/>
    <d v="2018-02-04T00:00:00"/>
    <n v="0"/>
    <n v="19"/>
    <s v="MID"/>
    <s v="MID"/>
    <s v="MID"/>
  </r>
  <r>
    <s v="Ren, Kylo"/>
    <s v="Kylo"/>
    <s v="Ren"/>
    <n v="11"/>
    <s v="MID"/>
    <s v="Solid Performer"/>
    <x v="0"/>
    <n v="10140"/>
    <n v="1"/>
    <n v="1"/>
    <n v="1"/>
    <n v="1"/>
    <n v="6"/>
    <n v="3"/>
    <n v="0"/>
    <n v="61809"/>
    <n v="0"/>
    <n v="3"/>
    <s v="Area Sales Manager"/>
    <s v="ID"/>
    <n v="83706"/>
    <d v="1954-10-12T00:00:00"/>
    <s v="M "/>
    <s v="Married"/>
    <s v="US Citizen"/>
    <s v="No"/>
    <s v="White"/>
    <d v="2014-05-12T00:00:00"/>
    <m/>
    <s v="N/A-StillEmployed"/>
    <s v="Active"/>
    <x v="4"/>
    <s v="John Smith"/>
    <n v="17"/>
    <s v="CareerBuilder"/>
    <s v="Fully Meets"/>
    <n v="3.98"/>
    <n v="3"/>
    <n v="0"/>
    <d v="2019-01-28T00:00:00"/>
    <n v="0"/>
    <n v="4"/>
    <s v="MID"/>
    <s v="MID"/>
    <s v="MID"/>
  </r>
  <r>
    <s v="Rhoads, Thomas"/>
    <s v="Thomas"/>
    <s v="Rhoads"/>
    <n v="4"/>
    <s v="MID"/>
    <s v="Solid Performer"/>
    <x v="1"/>
    <n v="10058"/>
    <n v="0"/>
    <n v="2"/>
    <n v="1"/>
    <n v="5"/>
    <n v="5"/>
    <n v="3"/>
    <n v="0"/>
    <n v="45115"/>
    <n v="1"/>
    <n v="19"/>
    <s v="Production Technician I"/>
    <s v="MA"/>
    <n v="2176"/>
    <d v="1982-07-22T00:00:00"/>
    <s v="M "/>
    <s v="Divorced"/>
    <s v="US Citizen"/>
    <s v="Yes"/>
    <s v="White"/>
    <d v="2011-05-16T00:00:00"/>
    <d v="2016-01-15T00:00:00"/>
    <s v="retiring"/>
    <s v="Voluntarily Terminated"/>
    <x v="0"/>
    <s v="Elijiah Gray"/>
    <n v="16"/>
    <s v="LinkedIn"/>
    <s v="Fully Meets"/>
    <n v="5"/>
    <n v="4"/>
    <n v="0"/>
    <d v="2015-03-30T00:00:00"/>
    <n v="0"/>
    <n v="11"/>
    <s v="MID"/>
    <s v="MID"/>
    <s v="MID"/>
  </r>
  <r>
    <s v="Rivera, Haley  "/>
    <s v="Haley"/>
    <s v="Rivera"/>
    <n v="14"/>
    <s v="MID"/>
    <s v="Top Performer"/>
    <x v="0"/>
    <n v="10011"/>
    <n v="1"/>
    <n v="1"/>
    <n v="0"/>
    <n v="1"/>
    <n v="5"/>
    <n v="4"/>
    <n v="0"/>
    <n v="46738"/>
    <n v="0"/>
    <n v="19"/>
    <s v="Production Technician I"/>
    <s v="MA"/>
    <n v="2171"/>
    <d v="1973-01-12T00:00:00"/>
    <s v="F"/>
    <s v="Married"/>
    <s v="US Citizen"/>
    <s v="No"/>
    <s v="Asian"/>
    <d v="2011-11-28T00:00:00"/>
    <m/>
    <s v="N/A-StillEmployed"/>
    <s v="Active"/>
    <x v="0"/>
    <s v="Webster Butler"/>
    <m/>
    <s v="Google Search"/>
    <s v="Exceeds"/>
    <n v="4.3600000000000003"/>
    <n v="5"/>
    <n v="0"/>
    <d v="2019-02-11T00:00:00"/>
    <n v="0"/>
    <n v="16"/>
    <s v="MID"/>
    <s v="MID"/>
    <s v="MID"/>
  </r>
  <r>
    <s v="Roberson, May"/>
    <s v="May"/>
    <s v="Roberson"/>
    <n v="0"/>
    <s v="MID"/>
    <s v="Solid Performer"/>
    <x v="1"/>
    <n v="10230"/>
    <n v="0"/>
    <n v="2"/>
    <n v="0"/>
    <n v="5"/>
    <n v="5"/>
    <n v="3"/>
    <n v="0"/>
    <n v="64971"/>
    <n v="1"/>
    <n v="20"/>
    <s v="Production Technician II"/>
    <s v="MA"/>
    <n v="1902"/>
    <d v="1981-09-05T00:00:00"/>
    <s v="F"/>
    <s v="Divorced"/>
    <s v="Eligible NonCitizen"/>
    <s v="No"/>
    <s v="Black or African American"/>
    <d v="2011-09-26T00:00:00"/>
    <d v="2011-10-22T00:00:00"/>
    <s v="return to school"/>
    <s v="Voluntarily Terminated"/>
    <x v="0"/>
    <s v="David Stanley"/>
    <n v="14"/>
    <s v="Google Search"/>
    <s v="Fully Meets"/>
    <n v="4.5"/>
    <n v="4"/>
    <n v="0"/>
    <d v="2011-10-22T00:00:00"/>
    <n v="0"/>
    <n v="10"/>
    <s v="MID"/>
    <s v="MID"/>
    <s v="MID"/>
  </r>
  <r>
    <s v="Robertson, Peter"/>
    <s v="Peter"/>
    <s v="Robertson"/>
    <n v="0"/>
    <s v="MID"/>
    <s v="Solid Performer"/>
    <x v="1"/>
    <n v="10224"/>
    <n v="1"/>
    <n v="1"/>
    <n v="1"/>
    <n v="5"/>
    <n v="5"/>
    <n v="3"/>
    <n v="0"/>
    <n v="55578"/>
    <n v="1"/>
    <n v="20"/>
    <s v="Production Technician II"/>
    <s v="MA"/>
    <n v="2138"/>
    <d v="1972-07-03T00:00:00"/>
    <s v="M "/>
    <s v="Married"/>
    <s v="US Citizen"/>
    <s v="No"/>
    <s v="White"/>
    <d v="2011-07-05T00:00:00"/>
    <d v="2012-02-08T00:00:00"/>
    <s v="Another position"/>
    <s v="Voluntarily Terminated"/>
    <x v="0"/>
    <s v="Kissy Sullivan"/>
    <n v="20"/>
    <s v="Indeed"/>
    <s v="Fully Meets"/>
    <n v="4.2"/>
    <n v="5"/>
    <n v="0"/>
    <d v="2012-01-06T00:00:00"/>
    <n v="0"/>
    <n v="13"/>
    <s v="MID"/>
    <s v="MID"/>
    <s v="MID"/>
  </r>
  <r>
    <s v="Robinson, Alain  "/>
    <s v="Alain"/>
    <s v="Robinson"/>
    <n v="5"/>
    <s v="MID"/>
    <s v="Solid Performer"/>
    <x v="1"/>
    <n v="10047"/>
    <n v="1"/>
    <n v="1"/>
    <n v="1"/>
    <n v="5"/>
    <n v="5"/>
    <n v="3"/>
    <n v="0"/>
    <n v="50428"/>
    <n v="1"/>
    <n v="19"/>
    <s v="Production Technician I"/>
    <s v="MA"/>
    <n v="1420"/>
    <d v="1974-01-07T00:00:00"/>
    <s v="M "/>
    <s v="Married"/>
    <s v="US Citizen"/>
    <s v="No"/>
    <s v="Black or African American"/>
    <d v="2011-01-10T00:00:00"/>
    <d v="2016-01-26T00:00:00"/>
    <s v="attendance"/>
    <s v="Voluntarily Terminated"/>
    <x v="0"/>
    <s v="Amy Dunn"/>
    <n v="11"/>
    <s v="Indeed"/>
    <s v="Fully Meets"/>
    <n v="5"/>
    <n v="3"/>
    <n v="0"/>
    <d v="2015-01-10T00:00:00"/>
    <n v="0"/>
    <n v="11"/>
    <s v="MID"/>
    <s v="MID"/>
    <s v="MID"/>
  </r>
  <r>
    <s v="Robinson, Cherly"/>
    <s v="Cherly"/>
    <s v="Robinson"/>
    <n v="5"/>
    <s v="MID"/>
    <s v="Underperformer"/>
    <x v="2"/>
    <n v="10285"/>
    <n v="1"/>
    <n v="1"/>
    <n v="0"/>
    <n v="4"/>
    <n v="5"/>
    <n v="2"/>
    <n v="0"/>
    <n v="61422"/>
    <n v="1"/>
    <n v="19"/>
    <s v="Production Technician I"/>
    <s v="MA"/>
    <n v="1460"/>
    <d v="1985-01-07T00:00:00"/>
    <s v="F"/>
    <s v="Married"/>
    <s v="US Citizen"/>
    <s v="No"/>
    <s v="White"/>
    <d v="2011-01-10T00:00:00"/>
    <d v="2016-05-17T00:00:00"/>
    <s v="attendance"/>
    <s v="Terminated for Cause"/>
    <x v="0"/>
    <s v="Ketsia Liebig"/>
    <n v="19"/>
    <s v="Indeed"/>
    <s v="Needs Improvement"/>
    <n v="3.6"/>
    <n v="3"/>
    <n v="0"/>
    <d v="2016-04-05T00:00:00"/>
    <n v="4"/>
    <n v="16"/>
    <s v="MID"/>
    <s v="MID"/>
    <s v="MID"/>
  </r>
  <r>
    <s v="Robinson, Elias"/>
    <s v="Elias"/>
    <s v="Robinson"/>
    <n v="12"/>
    <s v="MID"/>
    <s v="Top Performer"/>
    <x v="0"/>
    <n v="10020"/>
    <n v="0"/>
    <n v="4"/>
    <n v="1"/>
    <n v="1"/>
    <n v="5"/>
    <n v="4"/>
    <n v="0"/>
    <n v="63353"/>
    <n v="0"/>
    <n v="19"/>
    <s v="Production Technician I"/>
    <s v="MA"/>
    <n v="1730"/>
    <d v="1985-01-28T00:00:00"/>
    <s v="M "/>
    <s v="Widowed"/>
    <s v="US Citizen"/>
    <s v="No"/>
    <s v="White"/>
    <d v="2013-07-08T00:00:00"/>
    <m/>
    <s v="N/A-StillEmployed"/>
    <s v="Active"/>
    <x v="0"/>
    <s v="Brannon Miller"/>
    <n v="12"/>
    <s v="Employee Referral"/>
    <s v="Exceeds"/>
    <n v="3.6"/>
    <n v="5"/>
    <n v="0"/>
    <d v="2019-02-11T00:00:00"/>
    <n v="0"/>
    <n v="4"/>
    <s v="MID"/>
    <s v="MID"/>
    <s v="MID"/>
  </r>
  <r>
    <s v="Roby, Lori "/>
    <s v="Lori"/>
    <s v="Roby"/>
    <n v="11"/>
    <s v="HIGH"/>
    <s v="Solid Performer"/>
    <x v="0"/>
    <n v="10162"/>
    <n v="1"/>
    <n v="1"/>
    <n v="0"/>
    <n v="1"/>
    <n v="3"/>
    <n v="3"/>
    <n v="0"/>
    <n v="89883"/>
    <n v="0"/>
    <n v="9"/>
    <s v="Data Analyst"/>
    <s v="MA"/>
    <n v="1886"/>
    <d v="1981-10-11T00:00:00"/>
    <s v="F"/>
    <s v="Married"/>
    <s v="US Citizen"/>
    <s v="No"/>
    <s v="White"/>
    <d v="2015-02-16T00:00:00"/>
    <m/>
    <s v="N/A-StillEmployed"/>
    <s v="Active"/>
    <x v="1"/>
    <s v="Simon Roup"/>
    <n v="4"/>
    <s v="Employee Referral"/>
    <s v="Fully Meets"/>
    <n v="3.69"/>
    <n v="5"/>
    <n v="6"/>
    <d v="2019-02-14T00:00:00"/>
    <n v="0"/>
    <n v="15"/>
    <s v="HIGH"/>
    <s v="HIGH"/>
    <s v="HIGH"/>
  </r>
  <r>
    <s v="Roehrich, Bianca"/>
    <s v="Bianca"/>
    <s v="Roehrich"/>
    <n v="3"/>
    <s v="Executive"/>
    <s v="Solid Performer"/>
    <x v="1"/>
    <n v="10149"/>
    <n v="0"/>
    <n v="0"/>
    <n v="0"/>
    <n v="5"/>
    <n v="3"/>
    <n v="3"/>
    <n v="0"/>
    <n v="120000"/>
    <n v="1"/>
    <n v="29"/>
    <s v="Principal Data Architect"/>
    <s v="MA"/>
    <n v="2703"/>
    <d v="1973-05-27T00:00:00"/>
    <s v="F"/>
    <s v="Single"/>
    <s v="US Citizen"/>
    <s v="Yes"/>
    <s v="White"/>
    <d v="2015-01-05T00:00:00"/>
    <d v="2018-11-10T00:00:00"/>
    <s v="Another position"/>
    <s v="Voluntarily Terminated"/>
    <x v="1"/>
    <s v="Simon Roup"/>
    <n v="4"/>
    <s v="LinkedIn"/>
    <s v="Fully Meets"/>
    <n v="3.88"/>
    <n v="3"/>
    <n v="7"/>
    <d v="2018-02-13T00:00:00"/>
    <n v="0"/>
    <n v="12"/>
    <s v="Executive"/>
    <s v="Executive"/>
    <s v="Executive"/>
  </r>
  <r>
    <s v="Roper, Katie"/>
    <s v="Katie"/>
    <s v="Roper"/>
    <n v="9"/>
    <s v="Executive"/>
    <s v="Solid Performer"/>
    <x v="0"/>
    <n v="10086"/>
    <n v="0"/>
    <n v="0"/>
    <n v="0"/>
    <n v="1"/>
    <n v="3"/>
    <n v="3"/>
    <n v="0"/>
    <n v="150290"/>
    <n v="0"/>
    <n v="7"/>
    <s v="Data Architect"/>
    <s v="MA"/>
    <n v="2056"/>
    <d v="1972-11-21T00:00:00"/>
    <s v="F"/>
    <s v="Single"/>
    <s v="US Citizen"/>
    <s v="No"/>
    <s v="Black or African American"/>
    <d v="2017-01-07T00:00:00"/>
    <m/>
    <s v="N/A-StillEmployed"/>
    <s v="Active"/>
    <x v="1"/>
    <s v="Brian Champaigne"/>
    <n v="13"/>
    <s v="Indeed"/>
    <s v="Fully Meets"/>
    <n v="4.9400000000000004"/>
    <n v="3"/>
    <n v="5"/>
    <d v="2019-02-06T00:00:00"/>
    <n v="0"/>
    <n v="17"/>
    <s v="Executive"/>
    <s v="Executive"/>
    <s v="Executive"/>
  </r>
  <r>
    <s v="Rose, Ashley  "/>
    <s v="Ashley"/>
    <s v="Rose"/>
    <n v="12"/>
    <s v="MID"/>
    <s v="Solid Performer"/>
    <x v="0"/>
    <n v="10054"/>
    <n v="0"/>
    <n v="3"/>
    <n v="0"/>
    <n v="1"/>
    <n v="5"/>
    <n v="3"/>
    <n v="0"/>
    <n v="60627"/>
    <n v="0"/>
    <n v="19"/>
    <s v="Production Technician I"/>
    <s v="MA"/>
    <n v="1886"/>
    <d v="1974-12-05T00:00:00"/>
    <s v="F"/>
    <s v="Separated"/>
    <s v="US Citizen"/>
    <s v="No"/>
    <s v="White"/>
    <d v="2014-01-06T00:00:00"/>
    <m/>
    <s v="N/A-StillEmployed"/>
    <s v="Active"/>
    <x v="0"/>
    <s v="David Stanley"/>
    <n v="14"/>
    <s v="Website"/>
    <s v="Fully Meets"/>
    <n v="5"/>
    <n v="4"/>
    <n v="0"/>
    <d v="2019-01-31T00:00:00"/>
    <n v="0"/>
    <n v="8"/>
    <s v="MID"/>
    <s v="MID"/>
    <s v="MID"/>
  </r>
  <r>
    <s v="Rossetti, Bruno"/>
    <s v="Bruno"/>
    <s v="Rossetti"/>
    <n v="7"/>
    <s v="MID"/>
    <s v="Solid Performer"/>
    <x v="1"/>
    <n v="10065"/>
    <n v="0"/>
    <n v="0"/>
    <n v="1"/>
    <n v="5"/>
    <n v="5"/>
    <n v="3"/>
    <n v="0"/>
    <n v="53180"/>
    <n v="1"/>
    <n v="19"/>
    <s v="Production Technician I"/>
    <s v="MA"/>
    <n v="2155"/>
    <d v="1987-03-18T00:00:00"/>
    <s v="M "/>
    <s v="Single"/>
    <s v="US Citizen"/>
    <s v="No"/>
    <s v="White"/>
    <d v="2011-04-04T00:00:00"/>
    <d v="2018-08-13T00:00:00"/>
    <s v="Another position"/>
    <s v="Voluntarily Terminated"/>
    <x v="0"/>
    <s v="Kissy Sullivan"/>
    <n v="20"/>
    <s v="Google Search"/>
    <s v="Fully Meets"/>
    <n v="5"/>
    <n v="5"/>
    <n v="0"/>
    <d v="2018-07-02T00:00:00"/>
    <n v="0"/>
    <n v="4"/>
    <s v="MID"/>
    <s v="MID"/>
    <s v="MID"/>
  </r>
  <r>
    <s v="Roup,Simon"/>
    <s v="Simon"/>
    <s v="Roup"/>
    <n v="13"/>
    <s v="Executive"/>
    <s v="Solid Performer"/>
    <x v="0"/>
    <n v="10198"/>
    <n v="0"/>
    <n v="0"/>
    <n v="1"/>
    <n v="1"/>
    <n v="3"/>
    <n v="3"/>
    <n v="0"/>
    <n v="140920"/>
    <n v="0"/>
    <n v="13"/>
    <s v="IT Manager - DB"/>
    <s v="MA"/>
    <n v="2481"/>
    <d v="1973-04-05T00:00:00"/>
    <s v="M "/>
    <s v="Single"/>
    <s v="US Citizen"/>
    <s v="No"/>
    <s v="White"/>
    <d v="2013-01-20T00:00:00"/>
    <m/>
    <s v="N/A-StillEmployed"/>
    <s v="Active"/>
    <x v="1"/>
    <s v="Jennifer Zamora"/>
    <n v="5"/>
    <s v="Indeed"/>
    <s v="Fully Meets"/>
    <n v="3.6"/>
    <n v="5"/>
    <n v="7"/>
    <d v="2019-02-18T00:00:00"/>
    <n v="0"/>
    <n v="13"/>
    <s v="Executive"/>
    <s v="Executive"/>
    <s v="Executive"/>
  </r>
  <r>
    <s v="Ruiz, Ricardo"/>
    <s v="Ricardo"/>
    <s v="Ruiz"/>
    <n v="3"/>
    <s v="Executive"/>
    <s v="Solid Performer"/>
    <x v="1"/>
    <n v="10222"/>
    <n v="0"/>
    <n v="2"/>
    <n v="1"/>
    <n v="5"/>
    <n v="3"/>
    <n v="3"/>
    <n v="1"/>
    <n v="148999"/>
    <n v="1"/>
    <n v="13"/>
    <s v="IT Manager - DB"/>
    <s v="MA"/>
    <n v="1915"/>
    <d v="1964-01-04T00:00:00"/>
    <s v="M "/>
    <s v="Divorced"/>
    <s v="US Citizen"/>
    <s v="No"/>
    <s v="Black or African American"/>
    <d v="2012-01-09T00:00:00"/>
    <d v="2015-11-04T00:00:00"/>
    <s v="hours"/>
    <s v="Voluntarily Terminated"/>
    <x v="1"/>
    <s v="Jennifer Zamora"/>
    <n v="5"/>
    <s v="Diversity Job Fair"/>
    <s v="Fully Meets"/>
    <n v="4.3"/>
    <n v="4"/>
    <n v="6"/>
    <d v="2015-01-04T00:00:00"/>
    <n v="0"/>
    <n v="8"/>
    <s v="Executive"/>
    <s v="Executive"/>
    <s v="Executive"/>
  </r>
  <r>
    <s v="Saada, Adell"/>
    <s v="Adell"/>
    <s v="Saada"/>
    <n v="13"/>
    <s v="HIGH"/>
    <s v="Solid Performer"/>
    <x v="0"/>
    <n v="10126"/>
    <n v="1"/>
    <n v="1"/>
    <n v="0"/>
    <n v="1"/>
    <n v="4"/>
    <n v="3"/>
    <n v="0"/>
    <n v="86214"/>
    <n v="0"/>
    <n v="24"/>
    <s v="Software Engineer"/>
    <s v="MA"/>
    <n v="2132"/>
    <d v="1986-07-24T00:00:00"/>
    <s v="F"/>
    <s v="Married"/>
    <s v="US Citizen"/>
    <s v="No"/>
    <s v="White"/>
    <d v="2012-11-05T00:00:00"/>
    <m/>
    <s v="N/A-StillEmployed"/>
    <s v="Active"/>
    <x v="2"/>
    <s v="Alex Sweetwater"/>
    <n v="10"/>
    <s v="Indeed"/>
    <s v="Fully Meets"/>
    <n v="4.2"/>
    <n v="3"/>
    <n v="6"/>
    <d v="2019-02-13T00:00:00"/>
    <n v="0"/>
    <n v="2"/>
    <s v="HIGH"/>
    <s v="HIGH"/>
    <s v="HIGH"/>
  </r>
  <r>
    <s v="Saar-Beckles, Melinda"/>
    <s v="Melinda"/>
    <s v="Saar-Beckles"/>
    <n v="9"/>
    <s v="MID"/>
    <s v="Underperformer"/>
    <x v="0"/>
    <n v="10295"/>
    <n v="0"/>
    <n v="0"/>
    <n v="0"/>
    <n v="2"/>
    <n v="5"/>
    <n v="2"/>
    <n v="1"/>
    <n v="47750"/>
    <n v="0"/>
    <n v="19"/>
    <s v="Production Technician I"/>
    <s v="MA"/>
    <n v="1801"/>
    <d v="1968-06-06T00:00:00"/>
    <s v="F"/>
    <s v="Single"/>
    <s v="US Citizen"/>
    <s v="No"/>
    <s v="Black or African American"/>
    <d v="2016-07-04T00:00:00"/>
    <m/>
    <s v="N/A-StillEmployed"/>
    <s v="Active"/>
    <x v="0"/>
    <s v="Kelley Spirea"/>
    <n v="18"/>
    <s v="Diversity Job Fair"/>
    <s v="Needs Improvement"/>
    <n v="2.6"/>
    <n v="4"/>
    <n v="0"/>
    <d v="2019-02-18T00:00:00"/>
    <n v="5"/>
    <n v="4"/>
    <s v="MID"/>
    <s v="MID"/>
    <s v="MID"/>
  </r>
  <r>
    <s v="Sadki, Nore  "/>
    <s v="Nore"/>
    <s v="Sadki"/>
    <n v="9"/>
    <s v="MID"/>
    <s v="Solid Performer"/>
    <x v="1"/>
    <n v="10260"/>
    <n v="0"/>
    <n v="0"/>
    <n v="1"/>
    <n v="5"/>
    <n v="5"/>
    <n v="3"/>
    <n v="0"/>
    <n v="46428"/>
    <n v="1"/>
    <n v="19"/>
    <s v="Production Technician I"/>
    <s v="MA"/>
    <n v="2148"/>
    <d v="1974-12-21T00:00:00"/>
    <s v="M "/>
    <s v="Single"/>
    <s v="US Citizen"/>
    <s v="No"/>
    <s v="White"/>
    <d v="2009-01-05T00:00:00"/>
    <d v="2018-07-30T00:00:00"/>
    <s v="relocation out of area"/>
    <s v="Voluntarily Terminated"/>
    <x v="0"/>
    <s v="Michael Albert"/>
    <n v="22"/>
    <s v="Google Search"/>
    <s v="Fully Meets"/>
    <n v="4.5999999999999996"/>
    <n v="5"/>
    <n v="0"/>
    <d v="2018-02-05T00:00:00"/>
    <n v="0"/>
    <n v="7"/>
    <s v="MID"/>
    <s v="MID"/>
    <s v="MID"/>
  </r>
  <r>
    <s v="Sahoo, Adil"/>
    <s v="Adil"/>
    <s v="Sahoo"/>
    <n v="15"/>
    <s v="MID"/>
    <s v="Solid Performer"/>
    <x v="0"/>
    <n v="10233"/>
    <n v="1"/>
    <n v="1"/>
    <n v="1"/>
    <n v="1"/>
    <n v="5"/>
    <n v="3"/>
    <n v="0"/>
    <n v="57975"/>
    <n v="0"/>
    <n v="20"/>
    <s v="Production Technician II"/>
    <s v="MA"/>
    <n v="2062"/>
    <d v="1986-04-26T00:00:00"/>
    <s v="M "/>
    <s v="Married"/>
    <s v="US Citizen"/>
    <s v="No"/>
    <s v="White"/>
    <d v="2010-08-30T00:00:00"/>
    <m/>
    <s v="N/A-StillEmployed"/>
    <s v="Active"/>
    <x v="0"/>
    <s v="Kelley Spirea"/>
    <n v="18"/>
    <s v="CareerBuilder"/>
    <s v="Fully Meets"/>
    <n v="4.0999999999999996"/>
    <n v="3"/>
    <n v="0"/>
    <d v="2019-01-10T00:00:00"/>
    <n v="0"/>
    <n v="13"/>
    <s v="MID"/>
    <s v="MID"/>
    <s v="MID"/>
  </r>
  <r>
    <s v="Salter, Jason"/>
    <s v="Jason"/>
    <s v="Salter"/>
    <n v="0"/>
    <s v="HIGH"/>
    <s v="Solid Performer"/>
    <x v="1"/>
    <n v="10229"/>
    <n v="0"/>
    <n v="2"/>
    <n v="1"/>
    <n v="5"/>
    <n v="3"/>
    <n v="3"/>
    <n v="0"/>
    <n v="88527"/>
    <n v="1"/>
    <n v="9"/>
    <s v="Data Analyst "/>
    <s v="MA"/>
    <n v="2452"/>
    <d v="1987-12-17T00:00:00"/>
    <s v="M "/>
    <s v="Divorced"/>
    <s v="US Citizen"/>
    <s v="No"/>
    <s v="Black or African American"/>
    <d v="2015-01-05T00:00:00"/>
    <d v="2015-10-31T00:00:00"/>
    <s v="hours"/>
    <s v="Voluntarily Terminated"/>
    <x v="1"/>
    <s v="Simon Roup"/>
    <n v="4"/>
    <s v="LinkedIn"/>
    <s v="Fully Meets"/>
    <n v="4.2"/>
    <n v="3"/>
    <n v="5"/>
    <d v="2015-04-20T00:00:00"/>
    <n v="0"/>
    <n v="2"/>
    <s v="HIGH"/>
    <s v="HIGH"/>
    <s v="HIGH"/>
  </r>
  <r>
    <s v="Sander, Kamrin"/>
    <s v="Kamrin"/>
    <s v="Sander"/>
    <n v="11"/>
    <s v="MID"/>
    <s v="Solid Performer"/>
    <x v="0"/>
    <n v="10169"/>
    <n v="1"/>
    <n v="1"/>
    <n v="0"/>
    <n v="1"/>
    <n v="5"/>
    <n v="3"/>
    <n v="0"/>
    <n v="56147"/>
    <n v="0"/>
    <n v="19"/>
    <s v="Production Technician I"/>
    <s v="MA"/>
    <n v="2154"/>
    <d v="1988-07-10T00:00:00"/>
    <s v="F"/>
    <s v="Married"/>
    <s v="US Citizen"/>
    <s v="No"/>
    <s v="Black or African American"/>
    <d v="2014-09-29T00:00:00"/>
    <m/>
    <s v="N/A-StillEmployed"/>
    <s v="Active"/>
    <x v="0"/>
    <s v="Elijiah Gray"/>
    <n v="16"/>
    <s v="LinkedIn"/>
    <s v="Fully Meets"/>
    <n v="3.51"/>
    <n v="3"/>
    <n v="0"/>
    <d v="2019-02-18T00:00:00"/>
    <n v="0"/>
    <n v="2"/>
    <s v="MID"/>
    <s v="MID"/>
    <s v="MID"/>
  </r>
  <r>
    <s v="Sewkumar, Nori"/>
    <s v="Nori"/>
    <s v="Sewkumar"/>
    <n v="12"/>
    <s v="MID"/>
    <s v="Solid Performer"/>
    <x v="0"/>
    <n v="10071"/>
    <n v="0"/>
    <n v="0"/>
    <n v="0"/>
    <n v="3"/>
    <n v="5"/>
    <n v="3"/>
    <n v="0"/>
    <n v="50923"/>
    <n v="0"/>
    <n v="19"/>
    <s v="Production Technician I"/>
    <s v="MA"/>
    <n v="2191"/>
    <d v="1975-03-10T00:00:00"/>
    <s v="F"/>
    <s v="Single"/>
    <s v="US Citizen"/>
    <s v="No"/>
    <s v="Asian"/>
    <d v="2013-09-30T00:00:00"/>
    <m/>
    <s v="N/A-StillEmployed"/>
    <s v="Active"/>
    <x v="0"/>
    <s v="Webster Butler"/>
    <m/>
    <s v="Google Search"/>
    <s v="Fully Meets"/>
    <n v="5"/>
    <n v="5"/>
    <n v="0"/>
    <d v="2019-02-06T00:00:00"/>
    <n v="0"/>
    <n v="14"/>
    <s v="MID"/>
    <s v="MID"/>
    <s v="MID"/>
  </r>
  <r>
    <s v="Shepard, Anita "/>
    <s v="Anita"/>
    <s v="Shepard"/>
    <n v="11"/>
    <s v="MID"/>
    <s v="Solid Performer"/>
    <x v="0"/>
    <n v="10179"/>
    <n v="1"/>
    <n v="1"/>
    <n v="0"/>
    <n v="1"/>
    <n v="3"/>
    <n v="3"/>
    <n v="0"/>
    <n v="50750"/>
    <n v="0"/>
    <n v="15"/>
    <s v="Network Engineer"/>
    <s v="MA"/>
    <n v="1773"/>
    <d v="1981-04-14T00:00:00"/>
    <s v="F"/>
    <s v="Married"/>
    <s v="US Citizen"/>
    <s v="No"/>
    <s v="White"/>
    <d v="2014-09-30T00:00:00"/>
    <m/>
    <s v="N/A-StillEmployed"/>
    <s v="Active"/>
    <x v="1"/>
    <s v="Peter Monroe"/>
    <n v="7"/>
    <s v="LinkedIn"/>
    <s v="Fully Meets"/>
    <n v="3.31"/>
    <n v="3"/>
    <n v="6"/>
    <d v="2019-01-07T00:00:00"/>
    <n v="0"/>
    <n v="7"/>
    <s v="MID"/>
    <s v="MID"/>
    <s v="MID"/>
  </r>
  <r>
    <s v="Shields, Seffi"/>
    <s v="Seffi"/>
    <s v="Shields"/>
    <n v="12"/>
    <s v="MID"/>
    <s v="Solid Performer"/>
    <x v="0"/>
    <n v="10091"/>
    <n v="1"/>
    <n v="1"/>
    <n v="0"/>
    <n v="1"/>
    <n v="5"/>
    <n v="3"/>
    <n v="0"/>
    <n v="52087"/>
    <n v="0"/>
    <n v="19"/>
    <s v="Production Technician I"/>
    <s v="MA"/>
    <n v="2149"/>
    <d v="1985-08-24T00:00:00"/>
    <s v="F"/>
    <s v="Married"/>
    <s v="US Citizen"/>
    <s v="No"/>
    <s v="White"/>
    <d v="2013-08-19T00:00:00"/>
    <m/>
    <s v="N/A-StillEmployed"/>
    <s v="Active"/>
    <x v="0"/>
    <s v="Amy Dunn"/>
    <n v="11"/>
    <s v="LinkedIn"/>
    <s v="Fully Meets"/>
    <n v="4.8099999999999996"/>
    <n v="4"/>
    <n v="0"/>
    <d v="2019-02-15T00:00:00"/>
    <n v="0"/>
    <n v="15"/>
    <s v="MID"/>
    <s v="MID"/>
    <s v="MID"/>
  </r>
  <r>
    <s v="Simard, Kramer"/>
    <s v="Kramer"/>
    <s v="Simard"/>
    <n v="11"/>
    <s v="HIGH"/>
    <s v="Solid Performer"/>
    <x v="0"/>
    <n v="10178"/>
    <n v="1"/>
    <n v="1"/>
    <n v="1"/>
    <n v="1"/>
    <n v="3"/>
    <n v="3"/>
    <n v="0"/>
    <n v="87826"/>
    <n v="0"/>
    <n v="9"/>
    <s v="Data Analyst"/>
    <s v="MA"/>
    <n v="2110"/>
    <d v="1970-02-08T00:00:00"/>
    <s v="M "/>
    <s v="Married"/>
    <s v="US Citizen"/>
    <s v="Yes"/>
    <s v="White"/>
    <d v="2015-01-05T00:00:00"/>
    <m/>
    <s v="N/A-StillEmployed"/>
    <s v="Active"/>
    <x v="1"/>
    <s v="Simon Roup"/>
    <n v="4"/>
    <s v="Employee Referral"/>
    <s v="Fully Meets"/>
    <n v="3.32"/>
    <n v="3"/>
    <n v="7"/>
    <d v="2019-01-14T00:00:00"/>
    <n v="0"/>
    <n v="16"/>
    <s v="HIGH"/>
    <s v="HIGH"/>
    <s v="HIGH"/>
  </r>
  <r>
    <s v="Singh, Nan "/>
    <s v="Nan"/>
    <s v="Singh"/>
    <n v="10"/>
    <s v="MID"/>
    <s v="Solid Performer"/>
    <x v="0"/>
    <n v="10039"/>
    <n v="0"/>
    <n v="0"/>
    <n v="0"/>
    <n v="1"/>
    <n v="1"/>
    <n v="3"/>
    <n v="0"/>
    <n v="51920"/>
    <n v="0"/>
    <n v="2"/>
    <s v="Administrative Assistant"/>
    <s v="MA"/>
    <n v="2330"/>
    <d v="1988-05-19T00:00:00"/>
    <s v="F"/>
    <s v="Single"/>
    <s v="US Citizen"/>
    <s v="No"/>
    <s v="White"/>
    <d v="2015-05-01T00:00:00"/>
    <m/>
    <s v="N/A-StillEmployed"/>
    <s v="Active"/>
    <x v="3"/>
    <s v="Brandon R. LeBlanc"/>
    <n v="1"/>
    <s v="Website"/>
    <s v="Fully Meets"/>
    <n v="5"/>
    <n v="3"/>
    <n v="5"/>
    <d v="2019-01-15T00:00:00"/>
    <n v="0"/>
    <n v="2"/>
    <s v="MID"/>
    <s v="MID"/>
    <s v="MID"/>
  </r>
  <r>
    <s v="Sloan, Constance"/>
    <s v="Constance"/>
    <s v="Sloan"/>
    <n v="5"/>
    <s v="MID"/>
    <s v="Solid Performer"/>
    <x v="1"/>
    <n v="10095"/>
    <n v="0"/>
    <n v="0"/>
    <n v="0"/>
    <n v="5"/>
    <n v="5"/>
    <n v="3"/>
    <n v="0"/>
    <n v="63878"/>
    <n v="1"/>
    <n v="20"/>
    <s v="Production Technician II"/>
    <s v="MA"/>
    <n v="1851"/>
    <d v="1987-11-25T00:00:00"/>
    <s v="F"/>
    <s v="Single"/>
    <s v="US Citizen"/>
    <s v="No"/>
    <s v="White"/>
    <d v="2009-10-26T00:00:00"/>
    <d v="2015-04-08T00:00:00"/>
    <s v="maternity leave - did not return"/>
    <s v="Voluntarily Terminated"/>
    <x v="0"/>
    <s v="Michael Albert"/>
    <n v="22"/>
    <s v="CareerBuilder"/>
    <s v="Fully Meets"/>
    <n v="4.68"/>
    <n v="4"/>
    <n v="0"/>
    <d v="2015-04-02T00:00:00"/>
    <n v="0"/>
    <n v="20"/>
    <s v="MID"/>
    <s v="MID"/>
    <s v="MID"/>
  </r>
  <r>
    <s v="Smith, Joe"/>
    <s v="Joe"/>
    <s v="Smith"/>
    <n v="11"/>
    <s v="MID"/>
    <s v="Top Performer"/>
    <x v="0"/>
    <n v="10027"/>
    <n v="0"/>
    <n v="0"/>
    <n v="1"/>
    <n v="1"/>
    <n v="5"/>
    <n v="4"/>
    <n v="0"/>
    <n v="60656"/>
    <n v="0"/>
    <n v="20"/>
    <s v="Production Technician II"/>
    <s v="MA"/>
    <n v="2045"/>
    <d v="1963-10-30T00:00:00"/>
    <s v="M "/>
    <s v="Single"/>
    <s v="US Citizen"/>
    <s v="No"/>
    <s v="White"/>
    <d v="2014-09-29T00:00:00"/>
    <m/>
    <s v="N/A-StillEmployed"/>
    <s v="Active"/>
    <x v="0"/>
    <s v="Elijiah Gray"/>
    <n v="16"/>
    <s v="Indeed"/>
    <s v="Exceeds"/>
    <n v="4.3"/>
    <n v="3"/>
    <n v="0"/>
    <d v="2019-01-28T00:00:00"/>
    <n v="0"/>
    <n v="4"/>
    <s v="MID"/>
    <s v="MID"/>
    <s v="MID"/>
  </r>
  <r>
    <s v="Smith, John"/>
    <s v="John"/>
    <s v="Smith"/>
    <n v="11"/>
    <s v="HIGH"/>
    <s v="Underperformer"/>
    <x v="0"/>
    <n v="10291"/>
    <n v="0"/>
    <n v="2"/>
    <n v="1"/>
    <n v="1"/>
    <n v="6"/>
    <n v="2"/>
    <n v="1"/>
    <n v="72992"/>
    <n v="0"/>
    <n v="21"/>
    <s v="Sales Manager"/>
    <s v="MA"/>
    <n v="1886"/>
    <d v="1984-08-16T00:00:00"/>
    <s v="M "/>
    <s v="Divorced"/>
    <s v="US Citizen"/>
    <s v="No"/>
    <s v="Black or African American"/>
    <d v="2014-05-18T00:00:00"/>
    <m/>
    <s v="N/A-StillEmployed"/>
    <s v="Active"/>
    <x v="4"/>
    <s v="Debra Houlihan"/>
    <n v="15"/>
    <s v="Diversity Job Fair"/>
    <s v="Needs Improvement"/>
    <n v="2.4"/>
    <n v="4"/>
    <n v="0"/>
    <d v="2019-01-16T00:00:00"/>
    <n v="2"/>
    <n v="16"/>
    <s v="HIGH"/>
    <s v="HIGH"/>
    <s v="HIGH"/>
  </r>
  <r>
    <s v="Smith, Leigh Ann"/>
    <s v="Leigh Ann"/>
    <s v="Smith"/>
    <n v="1"/>
    <s v="MID"/>
    <s v="Solid Performer"/>
    <x v="1"/>
    <n v="10153"/>
    <n v="1"/>
    <n v="1"/>
    <n v="0"/>
    <n v="5"/>
    <n v="1"/>
    <n v="3"/>
    <n v="1"/>
    <n v="55000"/>
    <n v="1"/>
    <n v="2"/>
    <s v="Administrative Assistant"/>
    <s v="MA"/>
    <n v="1844"/>
    <d v="1987-06-14T00:00:00"/>
    <s v="F"/>
    <s v="Married"/>
    <s v="US Citizen"/>
    <s v="No"/>
    <s v="Black or African American"/>
    <d v="2011-09-26T00:00:00"/>
    <d v="2013-09-25T00:00:00"/>
    <s v="career change"/>
    <s v="Voluntarily Terminated"/>
    <x v="3"/>
    <s v="Brandon R. LeBlanc"/>
    <n v="1"/>
    <s v="Diversity Job Fair"/>
    <s v="Fully Meets"/>
    <n v="3.8"/>
    <n v="4"/>
    <n v="4"/>
    <d v="2013-08-15T00:00:00"/>
    <n v="0"/>
    <n v="17"/>
    <s v="MID"/>
    <s v="MID"/>
    <s v="MID"/>
  </r>
  <r>
    <s v="Smith, Sade"/>
    <s v="Sade"/>
    <s v="Smith"/>
    <n v="12"/>
    <s v="MID"/>
    <s v="Solid Performer"/>
    <x v="0"/>
    <n v="10157"/>
    <n v="0"/>
    <n v="0"/>
    <n v="0"/>
    <n v="1"/>
    <n v="5"/>
    <n v="3"/>
    <n v="0"/>
    <n v="58939"/>
    <n v="0"/>
    <n v="19"/>
    <s v="Production Technician I"/>
    <s v="MA"/>
    <n v="2130"/>
    <d v="1965-02-02T00:00:00"/>
    <s v="F"/>
    <s v="Single"/>
    <s v="US Citizen"/>
    <s v="No"/>
    <s v="White"/>
    <d v="2013-11-11T00:00:00"/>
    <m/>
    <s v="N/A-StillEmployed"/>
    <s v="Active"/>
    <x v="0"/>
    <s v="Ketsia Liebig"/>
    <n v="19"/>
    <s v="Employee Referral"/>
    <s v="Fully Meets"/>
    <n v="3.73"/>
    <n v="3"/>
    <n v="0"/>
    <d v="2019-01-24T00:00:00"/>
    <n v="0"/>
    <n v="16"/>
    <s v="MID"/>
    <s v="MID"/>
    <s v="MID"/>
  </r>
  <r>
    <s v="Soto, Julia "/>
    <s v="Julia"/>
    <s v="Soto"/>
    <n v="14"/>
    <s v="MID"/>
    <s v="Solid Performer"/>
    <x v="0"/>
    <n v="10119"/>
    <n v="1"/>
    <n v="1"/>
    <n v="0"/>
    <n v="1"/>
    <n v="3"/>
    <n v="3"/>
    <n v="0"/>
    <n v="66593"/>
    <n v="0"/>
    <n v="14"/>
    <s v="IT Support"/>
    <s v="MA"/>
    <n v="2360"/>
    <d v="1973-03-12T00:00:00"/>
    <s v="F"/>
    <s v="Married"/>
    <s v="US Citizen"/>
    <s v="No"/>
    <s v="Black or African American"/>
    <d v="2011-06-10T00:00:00"/>
    <m/>
    <s v="N/A-StillEmployed"/>
    <s v="Active"/>
    <x v="1"/>
    <s v="Eric Dougall"/>
    <n v="6"/>
    <s v="LinkedIn"/>
    <s v="Fully Meets"/>
    <n v="4.3"/>
    <n v="3"/>
    <n v="5"/>
    <d v="2019-02-08T00:00:00"/>
    <n v="0"/>
    <n v="19"/>
    <s v="MID"/>
    <s v="MID"/>
    <s v="MID"/>
  </r>
  <r>
    <s v="Soze, Keyser"/>
    <s v="Keyser"/>
    <s v="Soze"/>
    <n v="9"/>
    <s v="HIGH"/>
    <s v="Solid Performer"/>
    <x v="0"/>
    <n v="10180"/>
    <n v="1"/>
    <n v="1"/>
    <n v="1"/>
    <n v="2"/>
    <n v="3"/>
    <n v="3"/>
    <n v="0"/>
    <n v="87565"/>
    <n v="0"/>
    <n v="28"/>
    <s v="Sr. Network Engineer"/>
    <s v="MA"/>
    <n v="1545"/>
    <d v="1983-02-09T00:00:00"/>
    <s v="M "/>
    <s v="Married"/>
    <s v="US Citizen"/>
    <s v="No"/>
    <s v="Asian"/>
    <d v="2016-06-30T00:00:00"/>
    <m/>
    <s v="N/A-StillEmployed"/>
    <s v="Active"/>
    <x v="1"/>
    <s v="Peter Monroe"/>
    <n v="7"/>
    <s v="LinkedIn"/>
    <s v="Fully Meets"/>
    <n v="3.27"/>
    <n v="4"/>
    <n v="5"/>
    <d v="2019-01-14T00:00:00"/>
    <n v="0"/>
    <n v="13"/>
    <s v="HIGH"/>
    <s v="HIGH"/>
    <s v="HIGH"/>
  </r>
  <r>
    <s v="Sparks, Taylor  "/>
    <s v="Taylor"/>
    <s v="Sparks"/>
    <n v="14"/>
    <s v="MID"/>
    <s v="At Risk"/>
    <x v="0"/>
    <n v="10302"/>
    <n v="1"/>
    <n v="1"/>
    <n v="0"/>
    <n v="1"/>
    <n v="5"/>
    <n v="1"/>
    <n v="0"/>
    <n v="64021"/>
    <n v="0"/>
    <n v="19"/>
    <s v="Production Technician I"/>
    <s v="MA"/>
    <n v="2093"/>
    <d v="1968-07-20T00:00:00"/>
    <s v="F"/>
    <s v="Married"/>
    <s v="US Citizen"/>
    <s v="No"/>
    <s v="White"/>
    <d v="2012-02-20T00:00:00"/>
    <m/>
    <s v="N/A-StillEmployed"/>
    <s v="Active"/>
    <x v="0"/>
    <s v="Brannon Miller"/>
    <n v="12"/>
    <s v="Indeed"/>
    <s v="PIP"/>
    <n v="2.4"/>
    <n v="2"/>
    <n v="1"/>
    <d v="2019-02-25T00:00:00"/>
    <n v="6"/>
    <n v="20"/>
    <s v="MID"/>
    <s v="MID"/>
    <s v="MID"/>
  </r>
  <r>
    <s v="Spirea, Kelley"/>
    <s v="Kelley"/>
    <s v="Spirea"/>
    <n v="13"/>
    <s v="MID"/>
    <s v="Solid Performer"/>
    <x v="0"/>
    <n v="10090"/>
    <n v="1"/>
    <n v="1"/>
    <n v="0"/>
    <n v="1"/>
    <n v="5"/>
    <n v="3"/>
    <n v="0"/>
    <n v="65714"/>
    <n v="0"/>
    <n v="18"/>
    <s v="Production Manager"/>
    <s v="MA"/>
    <n v="2451"/>
    <d v="1975-09-30T00:00:00"/>
    <s v="F"/>
    <s v="Married"/>
    <s v="US Citizen"/>
    <s v="No"/>
    <s v="White"/>
    <d v="2012-10-02T00:00:00"/>
    <m/>
    <s v="N/A-StillEmployed"/>
    <s v="Active"/>
    <x v="0"/>
    <s v="Janet King"/>
    <n v="2"/>
    <s v="LinkedIn"/>
    <s v="Fully Meets"/>
    <n v="4.83"/>
    <n v="5"/>
    <n v="0"/>
    <d v="2019-02-14T00:00:00"/>
    <n v="0"/>
    <n v="15"/>
    <s v="MID"/>
    <s v="MID"/>
    <s v="MID"/>
  </r>
  <r>
    <s v="Squatrito, Kristen"/>
    <s v="Kristen"/>
    <s v="Squatrito"/>
    <n v="2"/>
    <s v="MID"/>
    <s v="Top Performer"/>
    <x v="1"/>
    <n v="10030"/>
    <n v="0"/>
    <n v="2"/>
    <n v="0"/>
    <n v="5"/>
    <n v="5"/>
    <n v="4"/>
    <n v="0"/>
    <n v="62425"/>
    <n v="1"/>
    <n v="19"/>
    <s v="Production Technician I"/>
    <s v="MA"/>
    <n v="2359"/>
    <d v="1973-03-26T00:00:00"/>
    <s v="F"/>
    <s v="Divorced"/>
    <s v="US Citizen"/>
    <s v="No"/>
    <s v="White"/>
    <d v="2013-05-13T00:00:00"/>
    <d v="2015-06-29T00:00:00"/>
    <s v="unhappy"/>
    <s v="Voluntarily Terminated"/>
    <x v="0"/>
    <s v="David Stanley"/>
    <n v="14"/>
    <s v="LinkedIn"/>
    <s v="Exceeds"/>
    <n v="4.0999999999999996"/>
    <n v="4"/>
    <n v="0"/>
    <d v="2015-03-02T00:00:00"/>
    <n v="0"/>
    <n v="16"/>
    <s v="MID"/>
    <s v="MID"/>
    <s v="MID"/>
  </r>
  <r>
    <s v="Stanford,Barbara  M"/>
    <s v="Barbara M"/>
    <s v="Stanford"/>
    <n v="15"/>
    <s v="MID"/>
    <s v="Solid Performer"/>
    <x v="0"/>
    <n v="10278"/>
    <n v="0"/>
    <n v="2"/>
    <n v="0"/>
    <n v="1"/>
    <n v="5"/>
    <n v="3"/>
    <n v="0"/>
    <n v="47961"/>
    <n v="0"/>
    <n v="19"/>
    <s v="Production Technician I"/>
    <s v="MA"/>
    <n v="2050"/>
    <d v="1982-08-25T00:00:00"/>
    <s v="F"/>
    <s v="Divorced"/>
    <s v="US Citizen"/>
    <s v="No"/>
    <s v="Two or more races"/>
    <d v="2011-01-10T00:00:00"/>
    <m/>
    <s v="N/A-StillEmployed"/>
    <s v="Active"/>
    <x v="0"/>
    <s v="Kissy Sullivan"/>
    <n v="20"/>
    <s v="Google Search"/>
    <s v="Fully Meets"/>
    <n v="4.0999999999999996"/>
    <n v="4"/>
    <n v="0"/>
    <d v="2019-02-07T00:00:00"/>
    <n v="0"/>
    <n v="9"/>
    <s v="MID"/>
    <s v="MID"/>
    <s v="MID"/>
  </r>
  <r>
    <s v="Stansfield, Norman"/>
    <s v="Norman"/>
    <s v="Stansfield"/>
    <n v="11"/>
    <s v="MID"/>
    <s v="At Risk"/>
    <x v="0"/>
    <n v="10307"/>
    <n v="1"/>
    <n v="1"/>
    <n v="1"/>
    <n v="1"/>
    <n v="6"/>
    <n v="1"/>
    <n v="0"/>
    <n v="58273"/>
    <n v="0"/>
    <n v="3"/>
    <s v="Area Sales Manager"/>
    <s v="NV"/>
    <n v="89139"/>
    <d v="1974-05-09T00:00:00"/>
    <s v="M "/>
    <s v="Married"/>
    <s v="US Citizen"/>
    <s v="No"/>
    <s v="White"/>
    <d v="2014-05-12T00:00:00"/>
    <m/>
    <s v="N/A-StillEmployed"/>
    <s v="Active"/>
    <x v="4"/>
    <s v="Lynn Daneault"/>
    <n v="21"/>
    <s v="Website"/>
    <s v="PIP"/>
    <n v="1.81"/>
    <n v="2"/>
    <n v="0"/>
    <d v="2019-01-17T00:00:00"/>
    <n v="3"/>
    <n v="5"/>
    <s v="MID"/>
    <s v="MID"/>
    <s v="MID"/>
  </r>
  <r>
    <s v="Steans, Tyrone  "/>
    <s v="Tyrone"/>
    <s v="Steans"/>
    <n v="11"/>
    <s v="MID"/>
    <s v="Solid Performer"/>
    <x v="0"/>
    <n v="10147"/>
    <n v="0"/>
    <n v="0"/>
    <n v="1"/>
    <n v="1"/>
    <n v="1"/>
    <n v="3"/>
    <n v="0"/>
    <n v="63003"/>
    <n v="0"/>
    <n v="1"/>
    <s v="Accountant I"/>
    <s v="MA"/>
    <n v="2703"/>
    <d v="1986-09-01T00:00:00"/>
    <s v="M "/>
    <s v="Single"/>
    <s v="US Citizen"/>
    <s v="No"/>
    <s v="White"/>
    <d v="2014-09-29T00:00:00"/>
    <m/>
    <s v="N/A-StillEmployed"/>
    <s v="Active"/>
    <x v="3"/>
    <s v="Brandon R. LeBlanc"/>
    <n v="1"/>
    <s v="Indeed"/>
    <s v="Fully Meets"/>
    <n v="3.9"/>
    <n v="5"/>
    <n v="5"/>
    <d v="2019-01-18T00:00:00"/>
    <n v="0"/>
    <n v="9"/>
    <s v="MID"/>
    <s v="MID"/>
    <s v="MID"/>
  </r>
  <r>
    <s v="Stoica, Rick"/>
    <s v="Rick"/>
    <s v="Stoica"/>
    <n v="12"/>
    <s v="MID"/>
    <s v="Solid Performer"/>
    <x v="0"/>
    <n v="10266"/>
    <n v="1"/>
    <n v="1"/>
    <n v="1"/>
    <n v="1"/>
    <n v="5"/>
    <n v="3"/>
    <n v="0"/>
    <n v="61355"/>
    <n v="0"/>
    <n v="19"/>
    <s v="Production Technician I"/>
    <s v="MA"/>
    <n v="2301"/>
    <d v="1985-03-14T00:00:00"/>
    <s v="M "/>
    <s v="Married"/>
    <s v="US Citizen"/>
    <s v="No"/>
    <s v="Asian"/>
    <d v="2014-02-17T00:00:00"/>
    <m/>
    <s v="N/A-StillEmployed"/>
    <s v="Active"/>
    <x v="0"/>
    <s v="Kelley Spirea"/>
    <n v="18"/>
    <s v="LinkedIn"/>
    <s v="Fully Meets"/>
    <n v="4.7"/>
    <n v="3"/>
    <n v="0"/>
    <d v="2019-01-11T00:00:00"/>
    <n v="0"/>
    <n v="4"/>
    <s v="MID"/>
    <s v="MID"/>
    <s v="MID"/>
  </r>
  <r>
    <s v="Strong, Caitrin"/>
    <s v="Caitrin"/>
    <s v="Strong"/>
    <n v="15"/>
    <s v="MID"/>
    <s v="Solid Performer"/>
    <x v="0"/>
    <n v="10241"/>
    <n v="1"/>
    <n v="1"/>
    <n v="0"/>
    <n v="1"/>
    <n v="6"/>
    <n v="3"/>
    <n v="0"/>
    <n v="60120"/>
    <n v="0"/>
    <n v="3"/>
    <s v="Area Sales Manager"/>
    <s v="MT"/>
    <n v="59102"/>
    <d v="1989-05-12T00:00:00"/>
    <s v="F"/>
    <s v="Married"/>
    <s v="US Citizen"/>
    <s v="No"/>
    <s v="Black or African American"/>
    <d v="2010-09-27T00:00:00"/>
    <m/>
    <s v="N/A-StillEmployed"/>
    <s v="Active"/>
    <x v="4"/>
    <s v="John Smith"/>
    <n v="17"/>
    <s v="Indeed"/>
    <s v="Fully Meets"/>
    <n v="4.0999999999999996"/>
    <n v="4"/>
    <n v="0"/>
    <d v="2019-01-31T00:00:00"/>
    <n v="0"/>
    <n v="18"/>
    <s v="MID"/>
    <s v="MID"/>
    <s v="MID"/>
  </r>
  <r>
    <s v="Sullivan, Kissy "/>
    <s v="Kissy"/>
    <s v="Sullivan"/>
    <n v="17"/>
    <s v="MID"/>
    <s v="Solid Performer"/>
    <x v="0"/>
    <n v="10158"/>
    <n v="1"/>
    <n v="1"/>
    <n v="0"/>
    <n v="1"/>
    <n v="5"/>
    <n v="3"/>
    <n v="0"/>
    <n v="63682"/>
    <n v="0"/>
    <n v="18"/>
    <s v="Production Manager"/>
    <s v="MA"/>
    <n v="1776"/>
    <d v="1978-03-28T00:00:00"/>
    <s v="F"/>
    <s v="Married"/>
    <s v="US Citizen"/>
    <s v="No"/>
    <s v="Black or African American"/>
    <d v="2009-01-08T00:00:00"/>
    <m/>
    <s v="N/A-StillEmployed"/>
    <s v="Active"/>
    <x v="0"/>
    <s v="Janet King"/>
    <n v="2"/>
    <s v="Indeed"/>
    <s v="Fully Meets"/>
    <n v="3.73"/>
    <n v="4"/>
    <n v="0"/>
    <d v="2019-01-24T00:00:00"/>
    <n v="0"/>
    <n v="12"/>
    <s v="MID"/>
    <s v="MID"/>
    <s v="MID"/>
  </r>
  <r>
    <s v="Sullivan, Timothy"/>
    <s v="Timothy"/>
    <s v="Sullivan"/>
    <n v="11"/>
    <s v="MID"/>
    <s v="Solid Performer"/>
    <x v="0"/>
    <n v="10117"/>
    <n v="1"/>
    <n v="1"/>
    <n v="1"/>
    <n v="1"/>
    <n v="5"/>
    <n v="3"/>
    <n v="0"/>
    <n v="63025"/>
    <n v="0"/>
    <n v="19"/>
    <s v="Production Technician I"/>
    <s v="MA"/>
    <n v="2747"/>
    <d v="1982-10-07T00:00:00"/>
    <s v="M "/>
    <s v="Married"/>
    <s v="US Citizen"/>
    <s v="Yes"/>
    <s v="White"/>
    <d v="2015-01-05T00:00:00"/>
    <m/>
    <s v="N/A-StillEmployed"/>
    <s v="Active"/>
    <x v="0"/>
    <s v="Michael Albert"/>
    <n v="22"/>
    <s v="Google Search"/>
    <s v="Fully Meets"/>
    <n v="4.3600000000000003"/>
    <n v="5"/>
    <n v="0"/>
    <d v="2019-01-24T00:00:00"/>
    <n v="0"/>
    <n v="10"/>
    <s v="MID"/>
    <s v="MID"/>
    <s v="MID"/>
  </r>
  <r>
    <s v="Sutwell, Barbara"/>
    <s v="Barbara"/>
    <s v="Sutwell"/>
    <n v="13"/>
    <s v="MID"/>
    <s v="Solid Performer"/>
    <x v="0"/>
    <n v="10209"/>
    <n v="0"/>
    <n v="0"/>
    <n v="0"/>
    <n v="1"/>
    <n v="5"/>
    <n v="3"/>
    <n v="0"/>
    <n v="59238"/>
    <n v="0"/>
    <n v="19"/>
    <s v="Production Technician I"/>
    <s v="MA"/>
    <n v="2718"/>
    <d v="1968-08-15T00:00:00"/>
    <s v="F"/>
    <s v="Single"/>
    <s v="Eligible NonCitizen"/>
    <s v="No"/>
    <s v="Asian"/>
    <d v="2012-05-14T00:00:00"/>
    <m/>
    <s v="N/A-StillEmployed"/>
    <s v="Active"/>
    <x v="0"/>
    <s v="Elijiah Gray"/>
    <n v="16"/>
    <s v="Indeed"/>
    <s v="Fully Meets"/>
    <n v="3.4"/>
    <n v="5"/>
    <n v="0"/>
    <d v="2019-01-31T00:00:00"/>
    <n v="0"/>
    <n v="13"/>
    <s v="MID"/>
    <s v="MID"/>
    <s v="MID"/>
  </r>
  <r>
    <s v="Szabo, Andrew"/>
    <s v="Andrew"/>
    <s v="Szabo"/>
    <n v="11"/>
    <s v="HIGH"/>
    <s v="Top Performer"/>
    <x v="0"/>
    <n v="10024"/>
    <n v="0"/>
    <n v="0"/>
    <n v="1"/>
    <n v="1"/>
    <n v="4"/>
    <n v="4"/>
    <n v="0"/>
    <n v="92989"/>
    <n v="0"/>
    <n v="24"/>
    <s v="Software Engineer"/>
    <s v="MA"/>
    <n v="2140"/>
    <d v="1983-05-06T00:00:00"/>
    <s v="M "/>
    <s v="Single"/>
    <s v="US Citizen"/>
    <s v="No"/>
    <s v="White"/>
    <d v="2014-07-07T00:00:00"/>
    <m/>
    <s v="N/A-StillEmployed"/>
    <s v="Active"/>
    <x v="2"/>
    <s v="Alex Sweetwater"/>
    <n v="10"/>
    <s v="LinkedIn"/>
    <s v="Exceeds"/>
    <n v="4.5"/>
    <n v="5"/>
    <n v="5"/>
    <d v="2019-02-18T00:00:00"/>
    <n v="0"/>
    <n v="1"/>
    <s v="HIGH"/>
    <s v="HIGH"/>
    <s v="HIGH"/>
  </r>
  <r>
    <s v="Tannen, Biff"/>
    <s v="Biff"/>
    <s v="Tannen"/>
    <n v="8"/>
    <s v="HIGH"/>
    <s v="Solid Performer"/>
    <x v="0"/>
    <n v="10173"/>
    <n v="1"/>
    <n v="1"/>
    <n v="1"/>
    <n v="1"/>
    <n v="3"/>
    <n v="3"/>
    <n v="0"/>
    <n v="90100"/>
    <n v="0"/>
    <n v="4"/>
    <s v="BI Developer"/>
    <s v="MA"/>
    <n v="2134"/>
    <d v="1987-10-24T00:00:00"/>
    <s v="M "/>
    <s v="Married"/>
    <s v="US Citizen"/>
    <s v="No"/>
    <s v="White"/>
    <d v="2017-04-20T00:00:00"/>
    <m/>
    <s v="N/A-StillEmployed"/>
    <s v="Active"/>
    <x v="1"/>
    <s v="Brian Champaigne"/>
    <n v="13"/>
    <s v="Indeed"/>
    <s v="Fully Meets"/>
    <n v="3.4"/>
    <n v="3"/>
    <n v="6"/>
    <d v="2019-01-02T00:00:00"/>
    <n v="0"/>
    <n v="14"/>
    <s v="HIGH"/>
    <s v="HIGH"/>
    <s v="HIGH"/>
  </r>
  <r>
    <s v="Tavares, Desiree  "/>
    <s v="Desiree"/>
    <s v="Tavares"/>
    <n v="3"/>
    <s v="MID"/>
    <s v="Solid Performer"/>
    <x v="1"/>
    <n v="10221"/>
    <n v="1"/>
    <n v="1"/>
    <n v="0"/>
    <n v="5"/>
    <n v="5"/>
    <n v="3"/>
    <n v="1"/>
    <n v="60754"/>
    <n v="1"/>
    <n v="19"/>
    <s v="Production Technician I"/>
    <s v="MA"/>
    <n v="1801"/>
    <d v="1975-04-03T00:00:00"/>
    <s v="F"/>
    <s v="Married"/>
    <s v="Non-Citizen"/>
    <s v="No"/>
    <s v="Black or African American"/>
    <d v="2009-04-27T00:00:00"/>
    <d v="2013-04-01T00:00:00"/>
    <s v="Another position"/>
    <s v="Voluntarily Terminated"/>
    <x v="0"/>
    <s v="Webster Butler"/>
    <n v="39"/>
    <s v="Diversity Job Fair"/>
    <s v="Fully Meets"/>
    <n v="4.5"/>
    <n v="5"/>
    <n v="0"/>
    <d v="2012-02-15T00:00:00"/>
    <n v="0"/>
    <n v="11"/>
    <s v="MID"/>
    <s v="MID"/>
    <s v="MID"/>
  </r>
  <r>
    <s v="Tejeda, Lenora "/>
    <s v="Lenora"/>
    <s v="Tejeda"/>
    <n v="6"/>
    <s v="HIGH"/>
    <s v="Solid Performer"/>
    <x v="1"/>
    <n v="10146"/>
    <n v="1"/>
    <n v="1"/>
    <n v="0"/>
    <n v="5"/>
    <n v="5"/>
    <n v="3"/>
    <n v="0"/>
    <n v="72202"/>
    <n v="1"/>
    <n v="20"/>
    <s v="Production Technician II"/>
    <s v="MA"/>
    <n v="2129"/>
    <d v="1953-05-24T00:00:00"/>
    <s v="F"/>
    <s v="Married"/>
    <s v="US Citizen"/>
    <s v="No"/>
    <s v="White"/>
    <d v="2011-05-16T00:00:00"/>
    <d v="2017-07-08T00:00:00"/>
    <s v="Another position"/>
    <s v="Voluntarily Terminated"/>
    <x v="0"/>
    <s v="Elijiah Gray"/>
    <n v="16"/>
    <s v="Google Search"/>
    <s v="Fully Meets"/>
    <n v="3.93"/>
    <n v="3"/>
    <n v="0"/>
    <d v="2017-04-18T00:00:00"/>
    <n v="0"/>
    <n v="3"/>
    <s v="HIGH"/>
    <s v="HIGH"/>
    <s v="HIGH"/>
  </r>
  <r>
    <s v="Terry, Sharlene "/>
    <s v="Sharlene"/>
    <s v="Terry"/>
    <n v="11"/>
    <s v="MID"/>
    <s v="Solid Performer"/>
    <x v="0"/>
    <n v="10161"/>
    <n v="0"/>
    <n v="0"/>
    <n v="0"/>
    <n v="1"/>
    <n v="6"/>
    <n v="3"/>
    <n v="0"/>
    <n v="58370"/>
    <n v="0"/>
    <n v="3"/>
    <s v="Area Sales Manager"/>
    <s v="OR"/>
    <n v="97756"/>
    <d v="1965-05-07T00:00:00"/>
    <s v="F"/>
    <s v="Single"/>
    <s v="US Citizen"/>
    <s v="No"/>
    <s v="Black or African American"/>
    <d v="2014-09-29T00:00:00"/>
    <m/>
    <s v="N/A-StillEmployed"/>
    <s v="Active"/>
    <x v="4"/>
    <s v="Lynn Daneault"/>
    <n v="21"/>
    <s v="Indeed"/>
    <s v="Fully Meets"/>
    <n v="3.69"/>
    <n v="3"/>
    <n v="0"/>
    <d v="2019-01-28T00:00:00"/>
    <n v="0"/>
    <n v="18"/>
    <s v="MID"/>
    <s v="MID"/>
    <s v="MID"/>
  </r>
  <r>
    <s v="Theamstern, Sophia"/>
    <s v="Sophia"/>
    <s v="Theamstern"/>
    <n v="5"/>
    <s v="MID"/>
    <s v="Solid Performer"/>
    <x v="1"/>
    <n v="10141"/>
    <n v="0"/>
    <n v="0"/>
    <n v="0"/>
    <n v="5"/>
    <n v="5"/>
    <n v="3"/>
    <n v="0"/>
    <n v="48413"/>
    <n v="1"/>
    <n v="19"/>
    <s v="Production Technician I"/>
    <s v="MA"/>
    <n v="2066"/>
    <d v="1965-05-09T00:00:00"/>
    <s v="F"/>
    <s v="Single"/>
    <s v="US Citizen"/>
    <s v="No"/>
    <s v="White"/>
    <d v="2011-07-05T00:00:00"/>
    <d v="2016-09-05T00:00:00"/>
    <s v="return to school"/>
    <s v="Voluntarily Terminated"/>
    <x v="0"/>
    <s v="Amy Dunn"/>
    <n v="11"/>
    <s v="Indeed"/>
    <s v="Fully Meets"/>
    <n v="3.98"/>
    <n v="4"/>
    <n v="0"/>
    <d v="2016-03-02T00:00:00"/>
    <n v="0"/>
    <n v="1"/>
    <s v="MID"/>
    <s v="MID"/>
    <s v="MID"/>
  </r>
  <r>
    <s v="Thibaud, Kenneth"/>
    <s v="Kenneth"/>
    <s v="Thibaud"/>
    <n v="3"/>
    <s v="MID"/>
    <s v="Solid Performer"/>
    <x v="1"/>
    <n v="10268"/>
    <n v="0"/>
    <n v="4"/>
    <n v="1"/>
    <n v="5"/>
    <n v="5"/>
    <n v="3"/>
    <n v="0"/>
    <n v="67176"/>
    <n v="1"/>
    <n v="20"/>
    <s v="Production Technician II"/>
    <s v="MA"/>
    <n v="2472"/>
    <d v="1975-09-16T00:00:00"/>
    <s v="M "/>
    <s v="Widowed"/>
    <s v="US Citizen"/>
    <s v="No"/>
    <s v="White"/>
    <d v="2007-06-25T00:00:00"/>
    <d v="2010-08-30T00:00:00"/>
    <s v="military"/>
    <s v="Voluntarily Terminated"/>
    <x v="0"/>
    <s v="Webster Butler"/>
    <n v="39"/>
    <s v="Other"/>
    <s v="Fully Meets"/>
    <n v="4.0999999999999996"/>
    <n v="4"/>
    <n v="0"/>
    <d v="2010-07-14T00:00:00"/>
    <n v="0"/>
    <n v="15"/>
    <s v="MID"/>
    <s v="MID"/>
    <s v="MID"/>
  </r>
  <r>
    <s v="Tippett, Jeanette"/>
    <s v="Jeanette"/>
    <s v="Tippett"/>
    <n v="13"/>
    <s v="MID"/>
    <s v="Solid Performer"/>
    <x v="0"/>
    <n v="10123"/>
    <n v="0"/>
    <n v="2"/>
    <n v="0"/>
    <n v="1"/>
    <n v="5"/>
    <n v="3"/>
    <n v="0"/>
    <n v="56339"/>
    <n v="0"/>
    <n v="19"/>
    <s v="Production Technician I"/>
    <s v="MA"/>
    <n v="2093"/>
    <d v="1967-06-05T00:00:00"/>
    <s v="F"/>
    <s v="Divorced"/>
    <s v="US Citizen"/>
    <s v="No"/>
    <s v="Black or African American"/>
    <d v="2013-02-18T00:00:00"/>
    <m/>
    <s v="N/A-StillEmployed"/>
    <s v="Active"/>
    <x v="0"/>
    <s v="Brannon Miller"/>
    <n v="12"/>
    <s v="Indeed"/>
    <s v="Fully Meets"/>
    <n v="4.21"/>
    <n v="5"/>
    <n v="0"/>
    <d v="2019-01-14T00:00:00"/>
    <n v="0"/>
    <n v="4"/>
    <s v="MID"/>
    <s v="MID"/>
    <s v="MID"/>
  </r>
  <r>
    <s v="Torrence, Jack"/>
    <s v="Jack"/>
    <s v="Torrence"/>
    <n v="20"/>
    <s v="MID"/>
    <s v="Top Performer"/>
    <x v="0"/>
    <n v="10013"/>
    <n v="0"/>
    <n v="3"/>
    <n v="1"/>
    <n v="1"/>
    <n v="6"/>
    <n v="4"/>
    <n v="0"/>
    <n v="64397"/>
    <n v="0"/>
    <n v="3"/>
    <s v="Area Sales Manager"/>
    <s v="ND"/>
    <n v="58782"/>
    <d v="1968-01-15T00:00:00"/>
    <s v="M "/>
    <s v="Separated"/>
    <s v="US Citizen"/>
    <s v="No"/>
    <s v="White"/>
    <d v="2006-01-09T00:00:00"/>
    <m/>
    <s v="N/A-StillEmployed"/>
    <s v="Active"/>
    <x v="4"/>
    <s v="Lynn Daneault"/>
    <n v="21"/>
    <s v="Indeed"/>
    <s v="Exceeds"/>
    <n v="4.0999999999999996"/>
    <n v="3"/>
    <n v="0"/>
    <d v="2019-01-04T00:00:00"/>
    <n v="0"/>
    <n v="6"/>
    <s v="MID"/>
    <s v="MID"/>
    <s v="MID"/>
  </r>
  <r>
    <s v="Trang, Mei"/>
    <s v="Mei"/>
    <s v="Trang"/>
    <n v="12"/>
    <s v="MID"/>
    <s v="Underperformer"/>
    <x v="0"/>
    <n v="10287"/>
    <n v="0"/>
    <n v="0"/>
    <n v="0"/>
    <n v="1"/>
    <n v="5"/>
    <n v="2"/>
    <n v="0"/>
    <n v="63025"/>
    <n v="0"/>
    <n v="19"/>
    <s v="Production Technician I"/>
    <s v="MA"/>
    <n v="2021"/>
    <d v="1983-05-16T00:00:00"/>
    <s v="F"/>
    <s v="Single"/>
    <s v="US Citizen"/>
    <s v="No"/>
    <s v="White"/>
    <d v="2014-02-17T00:00:00"/>
    <m/>
    <s v="N/A-StillEmployed"/>
    <s v="Active"/>
    <x v="0"/>
    <s v="David Stanley"/>
    <n v="14"/>
    <s v="LinkedIn"/>
    <s v="Needs Improvement"/>
    <n v="2.44"/>
    <n v="5"/>
    <n v="0"/>
    <d v="2019-02-11T00:00:00"/>
    <n v="4"/>
    <n v="18"/>
    <s v="MID"/>
    <s v="MID"/>
    <s v="MID"/>
  </r>
  <r>
    <s v="Tredinnick, Neville "/>
    <s v="Neville"/>
    <s v="Tredinnick"/>
    <n v="1"/>
    <s v="HIGH"/>
    <s v="Solid Performer"/>
    <x v="1"/>
    <n v="10044"/>
    <n v="1"/>
    <n v="1"/>
    <n v="1"/>
    <n v="5"/>
    <n v="3"/>
    <n v="3"/>
    <n v="0"/>
    <n v="75281"/>
    <n v="1"/>
    <n v="15"/>
    <s v="Network Engineer"/>
    <s v="MA"/>
    <n v="1420"/>
    <d v="1988-05-05T00:00:00"/>
    <s v="M "/>
    <s v="Married"/>
    <s v="US Citizen"/>
    <s v="No"/>
    <s v="White"/>
    <d v="2015-01-05T00:00:00"/>
    <d v="2016-02-12T00:00:00"/>
    <s v="medical issues"/>
    <s v="Voluntarily Terminated"/>
    <x v="1"/>
    <s v="Peter Monroe"/>
    <n v="7"/>
    <s v="CareerBuilder"/>
    <s v="Fully Meets"/>
    <n v="5"/>
    <n v="3"/>
    <n v="5"/>
    <d v="2015-04-15T00:00:00"/>
    <n v="0"/>
    <n v="11"/>
    <s v="HIGH"/>
    <s v="HIGH"/>
    <s v="HIGH"/>
  </r>
  <r>
    <s v="True, Edward"/>
    <s v="Edward"/>
    <s v="True"/>
    <n v="5"/>
    <s v="Executive"/>
    <s v="Solid Performer"/>
    <x v="1"/>
    <n v="10102"/>
    <n v="0"/>
    <n v="0"/>
    <n v="1"/>
    <n v="5"/>
    <n v="4"/>
    <n v="3"/>
    <n v="1"/>
    <n v="100416"/>
    <n v="1"/>
    <n v="24"/>
    <s v="Software Engineer"/>
    <s v="MA"/>
    <n v="2451"/>
    <d v="1983-06-14T00:00:00"/>
    <s v="M "/>
    <s v="Single"/>
    <s v="Non-Citizen"/>
    <s v="No"/>
    <s v="Black or African American"/>
    <d v="2013-02-18T00:00:00"/>
    <d v="2018-04-15T00:00:00"/>
    <s v="medical issues"/>
    <s v="Voluntarily Terminated"/>
    <x v="2"/>
    <s v="Alex Sweetwater"/>
    <n v="10"/>
    <s v="Diversity Job Fair"/>
    <s v="Fully Meets"/>
    <n v="4.5999999999999996"/>
    <n v="3"/>
    <n v="4"/>
    <d v="2017-02-12T00:00:00"/>
    <n v="0"/>
    <n v="9"/>
    <s v="Executive"/>
    <s v="Executive"/>
    <s v="Executive"/>
  </r>
  <r>
    <s v="Trzeciak, Cybil"/>
    <s v="Cybil"/>
    <s v="Trzeciak"/>
    <n v="3"/>
    <s v="HIGH"/>
    <s v="Solid Performer"/>
    <x v="1"/>
    <n v="10270"/>
    <n v="0"/>
    <n v="0"/>
    <n v="0"/>
    <n v="5"/>
    <n v="5"/>
    <n v="3"/>
    <n v="0"/>
    <n v="74813"/>
    <n v="1"/>
    <n v="20"/>
    <s v="Production Technician II"/>
    <s v="MA"/>
    <n v="1778"/>
    <d v="1985-03-15T00:00:00"/>
    <s v="F"/>
    <s v="Single"/>
    <s v="US Citizen"/>
    <s v="No"/>
    <s v="White"/>
    <d v="2011-01-10T00:00:00"/>
    <d v="2014-07-02T00:00:00"/>
    <s v="unhappy"/>
    <s v="Voluntarily Terminated"/>
    <x v="0"/>
    <s v="Amy Dunn"/>
    <n v="11"/>
    <s v="LinkedIn"/>
    <s v="Fully Meets"/>
    <n v="4.4000000000000004"/>
    <n v="3"/>
    <n v="0"/>
    <d v="2014-01-05T00:00:00"/>
    <n v="0"/>
    <n v="5"/>
    <s v="HIGH"/>
    <s v="HIGH"/>
    <s v="HIGH"/>
  </r>
  <r>
    <s v="Turpin, Jumil"/>
    <s v="Jumil"/>
    <s v="Turpin"/>
    <n v="11"/>
    <s v="HIGH"/>
    <s v="Solid Performer"/>
    <x v="0"/>
    <n v="10045"/>
    <n v="1"/>
    <n v="1"/>
    <n v="1"/>
    <n v="1"/>
    <n v="3"/>
    <n v="3"/>
    <n v="0"/>
    <n v="76029"/>
    <n v="0"/>
    <n v="15"/>
    <s v="Network Engineer"/>
    <s v="MA"/>
    <n v="2343"/>
    <d v="1969-03-31T00:00:00"/>
    <s v="M "/>
    <s v="Married"/>
    <s v="Eligible NonCitizen"/>
    <s v="No"/>
    <s v="White"/>
    <d v="2015-03-30T00:00:00"/>
    <m/>
    <s v="N/A-StillEmployed"/>
    <s v="Active"/>
    <x v="1"/>
    <s v="Peter Monroe"/>
    <n v="7"/>
    <s v="Employee Referral"/>
    <s v="Fully Meets"/>
    <n v="5"/>
    <n v="4"/>
    <n v="7"/>
    <d v="2019-01-14T00:00:00"/>
    <n v="0"/>
    <n v="8"/>
    <s v="HIGH"/>
    <s v="HIGH"/>
    <s v="HIGH"/>
  </r>
  <r>
    <s v="Valentin,Jackie"/>
    <s v="Jackie"/>
    <s v="Valentin"/>
    <n v="14"/>
    <s v="MID"/>
    <s v="Solid Performer"/>
    <x v="0"/>
    <n v="10205"/>
    <n v="1"/>
    <n v="1"/>
    <n v="0"/>
    <n v="1"/>
    <n v="6"/>
    <n v="3"/>
    <n v="0"/>
    <n v="57859"/>
    <n v="0"/>
    <n v="3"/>
    <s v="Area Sales Manager"/>
    <s v="AZ"/>
    <n v="85006"/>
    <d v="1991-05-23T00:00:00"/>
    <s v="F"/>
    <s v="Married"/>
    <s v="US Citizen"/>
    <s v="No"/>
    <s v="Two or more races"/>
    <d v="2011-07-05T00:00:00"/>
    <m/>
    <s v="N/A-StillEmployed"/>
    <s v="Active"/>
    <x v="4"/>
    <s v="John Smith"/>
    <n v="17"/>
    <s v="Indeed"/>
    <s v="Fully Meets"/>
    <n v="2.81"/>
    <n v="3"/>
    <n v="0"/>
    <d v="2019-01-17T00:00:00"/>
    <n v="0"/>
    <n v="16"/>
    <s v="MID"/>
    <s v="MID"/>
    <s v="MID"/>
  </r>
  <r>
    <s v="Veera, Abdellah "/>
    <s v="Abdellah"/>
    <s v="Veera"/>
    <n v="3"/>
    <s v="MID"/>
    <s v="Top Performer"/>
    <x v="1"/>
    <n v="10014"/>
    <n v="0"/>
    <n v="2"/>
    <n v="1"/>
    <n v="5"/>
    <n v="5"/>
    <n v="4"/>
    <n v="0"/>
    <n v="58523"/>
    <n v="1"/>
    <n v="19"/>
    <s v="Production Technician I"/>
    <s v="MA"/>
    <n v="2171"/>
    <d v="1987-01-31T00:00:00"/>
    <s v="M "/>
    <s v="Divorced"/>
    <s v="US Citizen"/>
    <s v="No"/>
    <s v="White"/>
    <d v="2012-08-13T00:00:00"/>
    <d v="2016-02-05T00:00:00"/>
    <s v="maternity leave - did not return"/>
    <s v="Voluntarily Terminated"/>
    <x v="0"/>
    <s v="Kissy Sullivan"/>
    <n v="20"/>
    <s v="LinkedIn"/>
    <s v="Exceeds"/>
    <n v="4.5"/>
    <n v="5"/>
    <n v="0"/>
    <d v="2016-02-01T00:00:00"/>
    <n v="0"/>
    <n v="15"/>
    <s v="MID"/>
    <s v="MID"/>
    <s v="MID"/>
  </r>
  <r>
    <s v="Vega, Vincent"/>
    <s v="Vincent"/>
    <s v="Vega"/>
    <n v="14"/>
    <s v="HIGH"/>
    <s v="Solid Performer"/>
    <x v="0"/>
    <n v="10144"/>
    <n v="0"/>
    <n v="2"/>
    <n v="1"/>
    <n v="1"/>
    <n v="5"/>
    <n v="3"/>
    <n v="0"/>
    <n v="88976"/>
    <n v="0"/>
    <n v="17"/>
    <s v="Production Manager"/>
    <s v="MA"/>
    <n v="2169"/>
    <d v="1968-10-10T00:00:00"/>
    <s v="M "/>
    <s v="Divorced"/>
    <s v="US Citizen"/>
    <s v="No"/>
    <s v="White"/>
    <d v="2011-08-01T00:00:00"/>
    <m/>
    <s v="N/A-StillEmployed"/>
    <s v="Active"/>
    <x v="0"/>
    <s v="Janet King"/>
    <n v="2"/>
    <s v="Employee Referral"/>
    <s v="Fully Meets"/>
    <n v="3.93"/>
    <n v="3"/>
    <n v="0"/>
    <d v="2019-02-27T00:00:00"/>
    <n v="0"/>
    <n v="19"/>
    <s v="HIGH"/>
    <s v="HIGH"/>
    <s v="HIGH"/>
  </r>
  <r>
    <s v="Villanueva, Noah"/>
    <s v="Noah"/>
    <s v="Villanueva"/>
    <n v="14"/>
    <s v="MID"/>
    <s v="Solid Performer"/>
    <x v="0"/>
    <n v="10253"/>
    <n v="0"/>
    <n v="0"/>
    <n v="1"/>
    <n v="1"/>
    <n v="6"/>
    <n v="3"/>
    <n v="0"/>
    <n v="55875"/>
    <n v="0"/>
    <n v="3"/>
    <s v="Area Sales Manager"/>
    <s v="ME"/>
    <n v="4063"/>
    <d v="1989-07-11T00:00:00"/>
    <s v="M "/>
    <s v="Single"/>
    <s v="US Citizen"/>
    <s v="No"/>
    <s v="Asian"/>
    <d v="2012-03-05T00:00:00"/>
    <m/>
    <s v="N/A-StillEmployed"/>
    <s v="Active"/>
    <x v="4"/>
    <s v="John Smith"/>
    <n v="17"/>
    <s v="Website"/>
    <s v="Fully Meets"/>
    <n v="4.5"/>
    <n v="4"/>
    <n v="0"/>
    <d v="2019-01-18T00:00:00"/>
    <n v="0"/>
    <n v="11"/>
    <s v="MID"/>
    <s v="MID"/>
    <s v="MID"/>
  </r>
  <r>
    <s v="Voldemort, Lord"/>
    <s v="Lord"/>
    <s v="Voldemort"/>
    <n v="2"/>
    <s v="Executive"/>
    <s v="Solid Performer"/>
    <x v="2"/>
    <n v="10118"/>
    <n v="1"/>
    <n v="1"/>
    <n v="1"/>
    <n v="4"/>
    <n v="3"/>
    <n v="3"/>
    <n v="0"/>
    <n v="113999"/>
    <n v="1"/>
    <n v="8"/>
    <s v="Database Administrator"/>
    <s v="MA"/>
    <n v="1960"/>
    <d v="1986-08-07T00:00:00"/>
    <s v="M "/>
    <s v="Married"/>
    <s v="US Citizen"/>
    <s v="No"/>
    <s v="Black or African American"/>
    <d v="2015-02-16T00:00:00"/>
    <d v="2017-02-22T00:00:00"/>
    <s v="no-call, no-show"/>
    <s v="Terminated for Cause"/>
    <x v="1"/>
    <s v="Simon Roup"/>
    <n v="4"/>
    <s v="Employee Referral"/>
    <s v="Fully Meets"/>
    <n v="4.33"/>
    <n v="3"/>
    <n v="7"/>
    <d v="2017-02-15T00:00:00"/>
    <n v="0"/>
    <n v="9"/>
    <s v="Executive"/>
    <s v="Executive"/>
    <s v="Executive"/>
  </r>
  <r>
    <s v="Volk, Colleen"/>
    <s v="Colleen"/>
    <s v="Volk"/>
    <n v="4"/>
    <s v="MID"/>
    <s v="Top Performer"/>
    <x v="2"/>
    <n v="10022"/>
    <n v="1"/>
    <n v="1"/>
    <n v="0"/>
    <n v="4"/>
    <n v="5"/>
    <n v="4"/>
    <n v="0"/>
    <n v="49773"/>
    <n v="1"/>
    <n v="19"/>
    <s v="Production Technician I"/>
    <s v="MA"/>
    <n v="2747"/>
    <d v="1986-06-03T00:00:00"/>
    <s v="F"/>
    <s v="Married"/>
    <s v="US Citizen"/>
    <s v="No"/>
    <s v="White"/>
    <d v="2011-09-26T00:00:00"/>
    <d v="2016-02-08T00:00:00"/>
    <s v="gross misconduct"/>
    <s v="Terminated for Cause"/>
    <x v="0"/>
    <s v="Kelley Spirea"/>
    <n v="18"/>
    <s v="Google Search"/>
    <s v="Exceeds"/>
    <n v="4.3"/>
    <n v="5"/>
    <n v="0"/>
    <d v="2015-02-01T00:00:00"/>
    <n v="0"/>
    <n v="18"/>
    <s v="MID"/>
    <s v="MID"/>
    <s v="MID"/>
  </r>
  <r>
    <s v="Von Massenbach, Anna"/>
    <s v="Anna"/>
    <s v="Von Massenbach"/>
    <n v="10"/>
    <s v="MID"/>
    <s v="Solid Performer"/>
    <x v="0"/>
    <n v="10183"/>
    <n v="0"/>
    <n v="0"/>
    <n v="0"/>
    <n v="2"/>
    <n v="5"/>
    <n v="3"/>
    <n v="0"/>
    <n v="62068"/>
    <n v="0"/>
    <n v="19"/>
    <s v="Production Technician I"/>
    <s v="MA"/>
    <n v="2124"/>
    <d v="1985-04-06T00:00:00"/>
    <s v="F"/>
    <s v="Single"/>
    <s v="US Citizen"/>
    <s v="No"/>
    <s v="White"/>
    <d v="2015-07-05T00:00:00"/>
    <m/>
    <s v="N/A-StillEmployed"/>
    <s v="Active"/>
    <x v="0"/>
    <s v="Michael Albert"/>
    <n v="22"/>
    <s v="LinkedIn"/>
    <s v="Fully Meets"/>
    <n v="3.21"/>
    <n v="3"/>
    <n v="0"/>
    <d v="2019-01-29T00:00:00"/>
    <n v="0"/>
    <n v="7"/>
    <s v="MID"/>
    <s v="MID"/>
    <s v="MID"/>
  </r>
  <r>
    <s v="Walker, Roger"/>
    <s v="Roger"/>
    <s v="Walker"/>
    <n v="11"/>
    <s v="MID"/>
    <s v="Solid Performer"/>
    <x v="0"/>
    <n v="10190"/>
    <n v="0"/>
    <n v="0"/>
    <n v="1"/>
    <n v="1"/>
    <n v="5"/>
    <n v="3"/>
    <n v="0"/>
    <n v="66541"/>
    <n v="0"/>
    <n v="20"/>
    <s v="Production Technician II"/>
    <s v="MA"/>
    <n v="2459"/>
    <d v="1976-02-10T00:00:00"/>
    <s v="M "/>
    <s v="Single"/>
    <s v="US Citizen"/>
    <s v="No"/>
    <s v="Black or African American"/>
    <d v="2014-08-18T00:00:00"/>
    <m/>
    <s v="N/A-StillEmployed"/>
    <s v="Active"/>
    <x v="0"/>
    <s v="Ketsia Liebig"/>
    <n v="19"/>
    <s v="Employee Referral"/>
    <s v="Fully Meets"/>
    <n v="3.11"/>
    <n v="5"/>
    <n v="0"/>
    <d v="2019-02-12T00:00:00"/>
    <n v="0"/>
    <n v="4"/>
    <s v="MID"/>
    <s v="MID"/>
    <s v="MID"/>
  </r>
  <r>
    <s v="Wallace, Courtney  E"/>
    <s v="Courtney E"/>
    <s v="Wallace"/>
    <n v="0"/>
    <s v="HIGH"/>
    <s v="Solid Performer"/>
    <x v="1"/>
    <n v="10274"/>
    <n v="1"/>
    <n v="1"/>
    <n v="0"/>
    <n v="5"/>
    <n v="5"/>
    <n v="3"/>
    <n v="1"/>
    <n v="80512"/>
    <n v="1"/>
    <n v="18"/>
    <s v="Production Manager"/>
    <s v="MA"/>
    <n v="2478"/>
    <d v="1955-11-14T00:00:00"/>
    <s v="F"/>
    <s v="Married"/>
    <s v="US Citizen"/>
    <s v="No"/>
    <s v="Black or African American"/>
    <d v="2011-09-26T00:00:00"/>
    <d v="2012-01-02T00:00:00"/>
    <s v="Another position"/>
    <s v="Voluntarily Terminated"/>
    <x v="0"/>
    <s v="Janet King"/>
    <n v="2"/>
    <s v="Diversity Job Fair"/>
    <s v="Fully Meets"/>
    <n v="4.5"/>
    <n v="3"/>
    <n v="0"/>
    <d v="2012-01-02T00:00:00"/>
    <n v="0"/>
    <n v="5"/>
    <s v="HIGH"/>
    <s v="HIGH"/>
    <s v="HIGH"/>
  </r>
  <r>
    <s v="Wallace, Theresa"/>
    <s v="Theresa"/>
    <s v="Wallace"/>
    <n v="3"/>
    <s v="MID"/>
    <s v="Underperformer"/>
    <x v="1"/>
    <n v="10293"/>
    <n v="0"/>
    <n v="0"/>
    <n v="0"/>
    <n v="5"/>
    <n v="5"/>
    <n v="2"/>
    <n v="0"/>
    <n v="50274"/>
    <n v="1"/>
    <n v="19"/>
    <s v="Production Technician I"/>
    <s v="MA"/>
    <n v="1887"/>
    <d v="1980-08-02T00:00:00"/>
    <s v="F"/>
    <s v="Single"/>
    <s v="US Citizen"/>
    <s v="No"/>
    <s v="White"/>
    <d v="2012-08-13T00:00:00"/>
    <d v="2015-09-01T00:00:00"/>
    <s v="career change"/>
    <s v="Voluntarily Terminated"/>
    <x v="0"/>
    <s v="Elijiah Gray"/>
    <n v="16"/>
    <s v="CareerBuilder"/>
    <s v="Needs Improvement"/>
    <n v="2.5"/>
    <n v="3"/>
    <n v="0"/>
    <d v="2014-09-05T00:00:00"/>
    <n v="6"/>
    <n v="13"/>
    <s v="MID"/>
    <s v="MID"/>
    <s v="MID"/>
  </r>
  <r>
    <s v="Wang, Charlie"/>
    <s v="Charlie"/>
    <s v="Wang"/>
    <n v="9"/>
    <s v="HIGH"/>
    <s v="Solid Performer"/>
    <x v="0"/>
    <n v="10172"/>
    <n v="0"/>
    <n v="0"/>
    <n v="1"/>
    <n v="1"/>
    <n v="3"/>
    <n v="3"/>
    <n v="0"/>
    <n v="84903"/>
    <n v="0"/>
    <n v="22"/>
    <s v="Senior BI Developer"/>
    <s v="MA"/>
    <n v="1887"/>
    <d v="1981-07-08T00:00:00"/>
    <s v="M "/>
    <s v="Single"/>
    <s v="US Citizen"/>
    <s v="No"/>
    <s v="Asian"/>
    <d v="2017-02-15T00:00:00"/>
    <m/>
    <s v="N/A-StillEmployed"/>
    <s v="Active"/>
    <x v="1"/>
    <s v="Brian Champaigne"/>
    <n v="13"/>
    <s v="Indeed"/>
    <s v="Fully Meets"/>
    <n v="3.42"/>
    <n v="4"/>
    <n v="7"/>
    <d v="2019-01-04T00:00:00"/>
    <n v="0"/>
    <n v="17"/>
    <s v="HIGH"/>
    <s v="HIGH"/>
    <s v="HIGH"/>
  </r>
  <r>
    <s v="Warfield, Sarah"/>
    <s v="Sarah"/>
    <s v="Warfield"/>
    <n v="11"/>
    <s v="Executive"/>
    <s v="Solid Performer"/>
    <x v="0"/>
    <n v="10127"/>
    <n v="0"/>
    <n v="4"/>
    <n v="0"/>
    <n v="1"/>
    <n v="3"/>
    <n v="3"/>
    <n v="0"/>
    <n v="107226"/>
    <n v="0"/>
    <n v="28"/>
    <s v="Sr. Network Engineer"/>
    <s v="MA"/>
    <n v="2453"/>
    <d v="1978-05-02T00:00:00"/>
    <s v="F"/>
    <s v="Widowed"/>
    <s v="US Citizen"/>
    <s v="No"/>
    <s v="Asian"/>
    <d v="2015-03-30T00:00:00"/>
    <m/>
    <s v="N/A-StillEmployed"/>
    <s v="Active"/>
    <x v="1"/>
    <s v="Peter Monroe"/>
    <n v="7"/>
    <s v="Employee Referral"/>
    <s v="Fully Meets"/>
    <n v="4.2"/>
    <n v="4"/>
    <n v="8"/>
    <d v="2019-02-05T00:00:00"/>
    <n v="0"/>
    <n v="7"/>
    <s v="Executive"/>
    <s v="Executive"/>
    <s v="Executive"/>
  </r>
  <r>
    <s v="Whittier, Scott"/>
    <s v="Scott"/>
    <s v="Whittier"/>
    <n v="3"/>
    <s v="MID"/>
    <s v="Solid Performer"/>
    <x v="1"/>
    <n v="10072"/>
    <n v="0"/>
    <n v="0"/>
    <n v="1"/>
    <n v="5"/>
    <n v="5"/>
    <n v="3"/>
    <n v="0"/>
    <n v="58371"/>
    <n v="1"/>
    <n v="19"/>
    <s v="Production Technician I"/>
    <s v="MA"/>
    <n v="2030"/>
    <d v="1987-05-24T00:00:00"/>
    <s v="M "/>
    <s v="Single"/>
    <s v="US Citizen"/>
    <s v="Yes"/>
    <s v="White"/>
    <d v="2011-01-10T00:00:00"/>
    <d v="2014-05-15T00:00:00"/>
    <s v="hours"/>
    <s v="Voluntarily Terminated"/>
    <x v="0"/>
    <s v="Webster Butler"/>
    <n v="39"/>
    <s v="LinkedIn"/>
    <s v="Fully Meets"/>
    <n v="5"/>
    <n v="5"/>
    <n v="0"/>
    <d v="2014-05-15T00:00:00"/>
    <n v="0"/>
    <n v="11"/>
    <s v="MID"/>
    <s v="MID"/>
    <s v="MID"/>
  </r>
  <r>
    <s v="Wilber, Barry"/>
    <s v="Barry"/>
    <s v="Wilber"/>
    <n v="4"/>
    <s v="MID"/>
    <s v="Solid Performer"/>
    <x v="1"/>
    <n v="10048"/>
    <n v="1"/>
    <n v="1"/>
    <n v="1"/>
    <n v="5"/>
    <n v="5"/>
    <n v="3"/>
    <n v="0"/>
    <n v="55140"/>
    <n v="1"/>
    <n v="19"/>
    <s v="Production Technician I"/>
    <s v="MA"/>
    <n v="2324"/>
    <d v="1965-09-09T00:00:00"/>
    <s v="M "/>
    <s v="Married"/>
    <s v="Eligible NonCitizen"/>
    <s v="No"/>
    <s v="White"/>
    <d v="2011-05-16T00:00:00"/>
    <d v="2015-09-07T00:00:00"/>
    <s v="unhappy"/>
    <s v="Voluntarily Terminated"/>
    <x v="0"/>
    <s v="Amy Dunn"/>
    <n v="11"/>
    <s v="Website"/>
    <s v="Fully Meets"/>
    <n v="5"/>
    <n v="3"/>
    <n v="0"/>
    <d v="2015-02-15T00:00:00"/>
    <n v="0"/>
    <n v="7"/>
    <s v="MID"/>
    <s v="MID"/>
    <s v="MID"/>
  </r>
  <r>
    <s v="Wilkes, Annie"/>
    <s v="Annie"/>
    <s v="Wilkes"/>
    <n v="1"/>
    <s v="MID"/>
    <s v="Solid Performer"/>
    <x v="1"/>
    <n v="10204"/>
    <n v="0"/>
    <n v="2"/>
    <n v="0"/>
    <n v="5"/>
    <n v="5"/>
    <n v="3"/>
    <n v="0"/>
    <n v="58062"/>
    <n v="1"/>
    <n v="19"/>
    <s v="Production Technician I"/>
    <s v="MA"/>
    <n v="1876"/>
    <d v="1983-07-30T00:00:00"/>
    <s v="F"/>
    <s v="Divorced"/>
    <s v="US Citizen"/>
    <s v="No"/>
    <s v="White"/>
    <d v="2011-01-10T00:00:00"/>
    <d v="2012-05-14T00:00:00"/>
    <s v="Another position"/>
    <s v="Voluntarily Terminated"/>
    <x v="0"/>
    <s v="Ketsia Liebig"/>
    <n v="19"/>
    <s v="Google Search"/>
    <s v="Fully Meets"/>
    <n v="3.6"/>
    <n v="5"/>
    <n v="0"/>
    <d v="2011-02-06T00:00:00"/>
    <n v="0"/>
    <n v="9"/>
    <s v="MID"/>
    <s v="MID"/>
    <s v="MID"/>
  </r>
  <r>
    <s v="Williams, Jacquelyn  "/>
    <s v="Jacquelyn"/>
    <s v="Williams"/>
    <n v="3"/>
    <s v="MID"/>
    <s v="Solid Performer"/>
    <x v="1"/>
    <n v="10264"/>
    <n v="0"/>
    <n v="0"/>
    <n v="0"/>
    <n v="5"/>
    <n v="5"/>
    <n v="3"/>
    <n v="1"/>
    <n v="59728"/>
    <n v="1"/>
    <n v="19"/>
    <s v="Production Technician I"/>
    <s v="MA"/>
    <n v="2109"/>
    <d v="1969-10-02T00:00:00"/>
    <s v="F"/>
    <s v="Single"/>
    <s v="US Citizen"/>
    <s v="Yes"/>
    <s v="Black or African American"/>
    <d v="2012-01-09T00:00:00"/>
    <d v="2015-06-27T00:00:00"/>
    <s v="relocation out of area"/>
    <s v="Voluntarily Terminated"/>
    <x v="0"/>
    <s v="Ketsia Liebig"/>
    <n v="19"/>
    <s v="Diversity Job Fair"/>
    <s v="Fully Meets"/>
    <n v="4.3"/>
    <n v="4"/>
    <n v="0"/>
    <d v="2014-06-02T00:00:00"/>
    <n v="0"/>
    <n v="16"/>
    <s v="MID"/>
    <s v="MID"/>
    <s v="MID"/>
  </r>
  <r>
    <s v="Winthrop, Jordan  "/>
    <s v="Jordan"/>
    <s v="Winthrop"/>
    <n v="3"/>
    <s v="HIGH"/>
    <s v="Top Performer"/>
    <x v="1"/>
    <n v="10033"/>
    <n v="0"/>
    <n v="0"/>
    <n v="1"/>
    <n v="5"/>
    <n v="5"/>
    <n v="4"/>
    <n v="0"/>
    <n v="70507"/>
    <n v="1"/>
    <n v="20"/>
    <s v="Production Technician II"/>
    <s v="MA"/>
    <n v="2045"/>
    <d v="1958-11-07T00:00:00"/>
    <s v="M "/>
    <s v="Single"/>
    <s v="US Citizen"/>
    <s v="No"/>
    <s v="White"/>
    <d v="2013-01-07T00:00:00"/>
    <d v="2016-02-21T00:00:00"/>
    <s v="retiring"/>
    <s v="Voluntarily Terminated"/>
    <x v="0"/>
    <s v="Brannon Miller"/>
    <n v="12"/>
    <s v="LinkedIn"/>
    <s v="Exceeds"/>
    <n v="5"/>
    <n v="3"/>
    <n v="0"/>
    <d v="2016-01-19T00:00:00"/>
    <n v="0"/>
    <n v="7"/>
    <s v="HIGH"/>
    <s v="HIGH"/>
    <s v="HIGH"/>
  </r>
  <r>
    <s v="Wolk, Hang  T"/>
    <s v="Hang T"/>
    <s v="Wolk"/>
    <n v="11"/>
    <s v="MID"/>
    <s v="Solid Performer"/>
    <x v="0"/>
    <n v="10174"/>
    <n v="0"/>
    <n v="0"/>
    <n v="0"/>
    <n v="1"/>
    <n v="5"/>
    <n v="3"/>
    <n v="0"/>
    <n v="60446"/>
    <n v="0"/>
    <n v="20"/>
    <s v="Production Technician II"/>
    <s v="MA"/>
    <n v="2302"/>
    <d v="1985-04-20T00:00:00"/>
    <s v="F"/>
    <s v="Single"/>
    <s v="US Citizen"/>
    <s v="No"/>
    <s v="White"/>
    <d v="2014-09-29T00:00:00"/>
    <m/>
    <s v="N/A-StillEmployed"/>
    <s v="Active"/>
    <x v="0"/>
    <s v="David Stanley"/>
    <n v="14"/>
    <s v="LinkedIn"/>
    <s v="Fully Meets"/>
    <n v="3.4"/>
    <n v="4"/>
    <n v="0"/>
    <d v="2019-02-21T00:00:00"/>
    <n v="0"/>
    <n v="14"/>
    <s v="MID"/>
    <s v="MID"/>
    <s v="MID"/>
  </r>
  <r>
    <s v="Woodson, Jason"/>
    <s v="Jason"/>
    <s v="Woodson"/>
    <n v="11"/>
    <s v="MID"/>
    <s v="Solid Performer"/>
    <x v="0"/>
    <n v="10135"/>
    <n v="0"/>
    <n v="0"/>
    <n v="1"/>
    <n v="1"/>
    <n v="5"/>
    <n v="3"/>
    <n v="0"/>
    <n v="65893"/>
    <n v="0"/>
    <n v="20"/>
    <s v="Production Technician II"/>
    <s v="MA"/>
    <n v="1810"/>
    <d v="1985-05-11T00:00:00"/>
    <s v="M "/>
    <s v="Single"/>
    <s v="US Citizen"/>
    <s v="No"/>
    <s v="White"/>
    <d v="2014-07-07T00:00:00"/>
    <m/>
    <s v="N/A-StillEmployed"/>
    <s v="Active"/>
    <x v="0"/>
    <s v="Kissy Sullivan"/>
    <n v="20"/>
    <s v="LinkedIn"/>
    <s v="Fully Meets"/>
    <n v="4.07"/>
    <n v="4"/>
    <n v="0"/>
    <d v="2019-02-28T00:00:00"/>
    <n v="0"/>
    <n v="13"/>
    <s v="MID"/>
    <s v="MID"/>
    <s v="MID"/>
  </r>
  <r>
    <s v="Ybarra, Catherine "/>
    <s v="Catherine"/>
    <s v="Ybarra"/>
    <n v="7"/>
    <s v="MID"/>
    <s v="At Risk"/>
    <x v="1"/>
    <n v="10301"/>
    <n v="0"/>
    <n v="0"/>
    <n v="0"/>
    <n v="5"/>
    <n v="5"/>
    <n v="1"/>
    <n v="0"/>
    <n v="48513"/>
    <n v="1"/>
    <n v="19"/>
    <s v="Production Technician I"/>
    <s v="MA"/>
    <n v="2458"/>
    <d v="1982-05-04T00:00:00"/>
    <s v="F"/>
    <s v="Single"/>
    <s v="US Citizen"/>
    <s v="No"/>
    <s v="Asian"/>
    <d v="2008-09-02T00:00:00"/>
    <d v="2015-09-29T00:00:00"/>
    <s v="Another position"/>
    <s v="Voluntarily Terminated"/>
    <x v="0"/>
    <s v="Brannon Miller"/>
    <n v="12"/>
    <s v="Google Search"/>
    <s v="PIP"/>
    <n v="3.2"/>
    <n v="2"/>
    <n v="0"/>
    <d v="2015-09-02T00:00:00"/>
    <n v="5"/>
    <n v="4"/>
    <s v="MID"/>
    <s v="MID"/>
    <s v="MID"/>
  </r>
  <r>
    <s v="Zamora, Jennifer"/>
    <s v="Jennifer"/>
    <s v="Zamora"/>
    <n v="15"/>
    <s v="Executive"/>
    <s v="Top Performer"/>
    <x v="0"/>
    <n v="10010"/>
    <n v="0"/>
    <n v="0"/>
    <n v="0"/>
    <n v="1"/>
    <n v="3"/>
    <n v="4"/>
    <n v="0"/>
    <n v="220450"/>
    <n v="0"/>
    <n v="6"/>
    <s v="CIO"/>
    <s v="MA"/>
    <n v="2067"/>
    <d v="1979-08-30T00:00:00"/>
    <s v="F"/>
    <s v="Single"/>
    <s v="US Citizen"/>
    <s v="No"/>
    <s v="White"/>
    <d v="2010-04-10T00:00:00"/>
    <m/>
    <s v="N/A-StillEmployed"/>
    <s v="Active"/>
    <x v="1"/>
    <s v="Janet King"/>
    <n v="2"/>
    <s v="Employee Referral"/>
    <s v="Exceeds"/>
    <n v="4.5999999999999996"/>
    <n v="5"/>
    <n v="6"/>
    <d v="2019-02-21T00:00:00"/>
    <n v="0"/>
    <n v="16"/>
    <s v="Executive"/>
    <s v="Executive"/>
    <s v="Executive"/>
  </r>
  <r>
    <s v="Zhou, Julia"/>
    <s v="Julia"/>
    <s v="Zhou"/>
    <n v="11"/>
    <s v="HIGH"/>
    <s v="Solid Performer"/>
    <x v="0"/>
    <n v="10043"/>
    <n v="0"/>
    <n v="0"/>
    <n v="0"/>
    <n v="1"/>
    <n v="3"/>
    <n v="3"/>
    <n v="0"/>
    <n v="89292"/>
    <n v="0"/>
    <n v="9"/>
    <s v="Data Analyst"/>
    <s v="MA"/>
    <n v="2148"/>
    <d v="1979-02-24T00:00:00"/>
    <s v="F"/>
    <s v="Single"/>
    <s v="US Citizen"/>
    <s v="No"/>
    <s v="White"/>
    <d v="2015-03-30T00:00:00"/>
    <m/>
    <s v="N/A-StillEmployed"/>
    <s v="Active"/>
    <x v="1"/>
    <s v="Simon Roup"/>
    <n v="4"/>
    <s v="Employee Referral"/>
    <s v="Fully Meets"/>
    <n v="5"/>
    <n v="3"/>
    <n v="5"/>
    <d v="2019-02-01T00:00:00"/>
    <n v="0"/>
    <n v="11"/>
    <s v="HIGH"/>
    <s v="HIGH"/>
    <s v="HIGH"/>
  </r>
  <r>
    <s v="Zima, Colleen"/>
    <s v="Colleen"/>
    <s v="Zima"/>
    <n v="11"/>
    <s v="MID"/>
    <s v="Solid Performer"/>
    <x v="0"/>
    <n v="10271"/>
    <n v="0"/>
    <n v="4"/>
    <n v="0"/>
    <n v="1"/>
    <n v="5"/>
    <n v="3"/>
    <n v="0"/>
    <n v="45046"/>
    <n v="0"/>
    <n v="19"/>
    <s v="Production Technician I"/>
    <s v="MA"/>
    <n v="1730"/>
    <d v="1978-08-17T00:00:00"/>
    <s v="F"/>
    <s v="Widowed"/>
    <s v="US Citizen"/>
    <s v="No"/>
    <s v="Asian"/>
    <d v="2014-09-29T00:00:00"/>
    <m/>
    <s v="N/A-StillEmployed"/>
    <s v="Active"/>
    <x v="0"/>
    <s v="David Stanley"/>
    <n v="14"/>
    <s v="LinkedIn"/>
    <s v="Fully Meets"/>
    <n v="4.5"/>
    <n v="5"/>
    <n v="0"/>
    <d v="2019-01-30T00:00:00"/>
    <n v="0"/>
    <n v="2"/>
    <s v="MID"/>
    <s v="MID"/>
    <s v="M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88A4C-181A-4B29-B9C7-BB8E3B593E9B}" name="PivotTable2" cacheId="27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M2:Q10" firstHeaderRow="1" firstDataRow="2" firstDataCol="1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3"/>
        <item x="5"/>
        <item x="1"/>
        <item x="0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Average of Salary" fld="15" subtotal="average" baseField="0" baseItem="0"/>
  </dataFields>
  <chartFormats count="27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1A995-5B8B-4EAB-8269-2EB4BF4F70C8}" name="PivotTable1" cacheId="27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2:D9" firstHeaderRow="1" firstDataRow="2" firstDataCol="1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2"/>
        <item h="1"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3"/>
        <item x="5"/>
        <item x="1"/>
        <item x="0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1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6"/>
  </colFields>
  <colItems count="3">
    <i>
      <x/>
    </i>
    <i>
      <x v="2"/>
    </i>
    <i t="grand">
      <x/>
    </i>
  </colItems>
  <dataFields count="1">
    <dataField name="Count of EmpID" fld="7" subtotal="count" baseField="0" baseItem="0"/>
  </dataFields>
  <chartFormats count="18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F1A7E854-F11C-4ABD-AF37-F1F03BC68364}" sourceName="Department">
  <pivotTables>
    <pivotTable tabId="5" name="PivotTable1"/>
    <pivotTable tabId="5" name="PivotTable2"/>
  </pivotTables>
  <data>
    <tabular pivotCacheId="621210789">
      <items count="6">
        <i x="3" s="1"/>
        <i x="5" s="1"/>
        <i x="1" s="1"/>
        <i x="0" s="1"/>
        <i x="4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0814CE01-8EA5-4F11-A717-C348D735F283}" cache="Slicer_Department" caption="Department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E318-EB7D-4CBF-8335-BCC7C97F7F75}">
  <dimension ref="A1:AP312"/>
  <sheetViews>
    <sheetView tabSelected="1" workbookViewId="0">
      <pane ySplit="1" topLeftCell="AJ2" activePane="bottomLeft" state="frozen"/>
      <selection pane="bottomLeft" activeCell="AQ1" sqref="AQ1:AS1048576"/>
    </sheetView>
  </sheetViews>
  <sheetFormatPr defaultRowHeight="15"/>
  <cols>
    <col min="1" max="1" width="23.5703125" bestFit="1" customWidth="1"/>
    <col min="2" max="7" width="23.5703125" customWidth="1"/>
    <col min="8" max="8" width="6.85546875" bestFit="1" customWidth="1"/>
    <col min="9" max="9" width="10" bestFit="1" customWidth="1"/>
    <col min="10" max="10" width="14.85546875" bestFit="1" customWidth="1"/>
    <col min="11" max="11" width="9.42578125" bestFit="1" customWidth="1"/>
    <col min="12" max="12" width="12.28515625" bestFit="1" customWidth="1"/>
    <col min="13" max="13" width="7.28515625" bestFit="1" customWidth="1"/>
    <col min="14" max="14" width="11.42578125" bestFit="1" customWidth="1"/>
    <col min="15" max="15" width="21.85546875" bestFit="1" customWidth="1"/>
    <col min="16" max="16" width="7.7109375" bestFit="1" customWidth="1"/>
    <col min="17" max="17" width="6.85546875" bestFit="1" customWidth="1"/>
    <col min="18" max="18" width="10" bestFit="1" customWidth="1"/>
    <col min="19" max="19" width="28.7109375" bestFit="1" customWidth="1"/>
    <col min="20" max="20" width="5.7109375" bestFit="1" customWidth="1"/>
    <col min="21" max="21" width="6.5703125" bestFit="1" customWidth="1"/>
    <col min="22" max="22" width="11.42578125" bestFit="1" customWidth="1"/>
    <col min="23" max="23" width="4.140625" bestFit="1" customWidth="1"/>
    <col min="24" max="24" width="11.5703125" bestFit="1" customWidth="1"/>
    <col min="25" max="25" width="17.7109375" bestFit="1" customWidth="1"/>
    <col min="26" max="26" width="14" bestFit="1" customWidth="1"/>
    <col min="27" max="27" width="30.7109375" bestFit="1" customWidth="1"/>
    <col min="28" max="28" width="11.42578125" bestFit="1" customWidth="1"/>
    <col min="29" max="29" width="18" bestFit="1" customWidth="1"/>
    <col min="30" max="30" width="29.28515625" bestFit="1" customWidth="1"/>
    <col min="31" max="31" width="21.7109375" bestFit="1" customWidth="1"/>
    <col min="32" max="32" width="20.140625" bestFit="1" customWidth="1"/>
    <col min="33" max="33" width="18.28515625" bestFit="1" customWidth="1"/>
    <col min="34" max="34" width="10.85546875" bestFit="1" customWidth="1"/>
    <col min="35" max="35" width="22.7109375" bestFit="1" customWidth="1"/>
    <col min="36" max="36" width="19.28515625" bestFit="1" customWidth="1"/>
    <col min="37" max="37" width="18.140625" bestFit="1" customWidth="1"/>
    <col min="38" max="38" width="15.28515625" bestFit="1" customWidth="1"/>
    <col min="39" max="39" width="19.85546875" bestFit="1" customWidth="1"/>
    <col min="40" max="40" width="28" bestFit="1" customWidth="1"/>
    <col min="41" max="41" width="14.85546875" bestFit="1" customWidth="1"/>
    <col min="42" max="42" width="9.28515625" bestFit="1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tr">
        <f>TRIM(MID(A2, FIND(",", A2)+1, LEN(A2)))</f>
        <v>Wilson K</v>
      </c>
      <c r="C2" t="str">
        <f>TRIM(LEFT(A2, FIND(",", A2)-1))</f>
        <v>Adinolfi</v>
      </c>
      <c r="D2">
        <f ca="1">IFERROR(DATEDIF(AB2, AC2, "Y"), DATEDIF(AB2, TODAY(), "Y"))</f>
        <v>14</v>
      </c>
      <c r="E2" t="s">
        <v>43</v>
      </c>
      <c r="F2" t="str" cm="1">
        <f t="array" ref="F2">_xlfn.IFS(AJ2="Exceeds", "Top Performer", AJ2="Fully Meets", "Solid Performer", AJ2="Needs Improvement", "Underperformer", AJ2="PIP", "At Risk")</f>
        <v>Top Performer</v>
      </c>
      <c r="G2" t="str" cm="1">
        <f t="array" ref="G2">_xlfn.IFS(AE2="Active", "Retained", AE2="Voluntarily Terminated", "Voluntary Exit", AE2="Terminated for Cause", "Involuntary Exit")</f>
        <v>Retained</v>
      </c>
      <c r="H2">
        <v>10026</v>
      </c>
      <c r="I2">
        <v>0</v>
      </c>
      <c r="J2">
        <v>0</v>
      </c>
      <c r="K2">
        <v>1</v>
      </c>
      <c r="L2">
        <v>1</v>
      </c>
      <c r="M2">
        <v>5</v>
      </c>
      <c r="N2">
        <v>4</v>
      </c>
      <c r="O2">
        <v>0</v>
      </c>
      <c r="P2">
        <v>62506</v>
      </c>
      <c r="Q2">
        <v>0</v>
      </c>
      <c r="R2">
        <v>19</v>
      </c>
      <c r="S2" t="s">
        <v>44</v>
      </c>
      <c r="T2" t="s">
        <v>45</v>
      </c>
      <c r="U2">
        <v>1960</v>
      </c>
      <c r="V2" s="1">
        <v>30507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s="1">
        <v>40729</v>
      </c>
      <c r="AD2" t="s">
        <v>51</v>
      </c>
      <c r="AE2" t="s">
        <v>52</v>
      </c>
      <c r="AF2" t="s">
        <v>53</v>
      </c>
      <c r="AG2" t="s">
        <v>54</v>
      </c>
      <c r="AH2">
        <v>22</v>
      </c>
      <c r="AI2" t="s">
        <v>55</v>
      </c>
      <c r="AJ2" t="s">
        <v>56</v>
      </c>
      <c r="AK2">
        <v>4.5999999999999996</v>
      </c>
      <c r="AL2">
        <v>5</v>
      </c>
      <c r="AM2">
        <v>0</v>
      </c>
      <c r="AN2" s="1">
        <v>43482</v>
      </c>
      <c r="AO2">
        <v>0</v>
      </c>
      <c r="AP2">
        <v>1</v>
      </c>
    </row>
    <row r="3" spans="1:42">
      <c r="A3" t="s">
        <v>57</v>
      </c>
      <c r="B3" t="str">
        <f t="shared" ref="B3:B66" si="0">TRIM(MID(A3, FIND(",", A3)+1, LEN(A3)))</f>
        <v>Karthikeyan</v>
      </c>
      <c r="C3" t="str">
        <f t="shared" ref="C3:C66" si="1">TRIM(LEFT(A3, FIND(",", A3)-1))</f>
        <v>Ait Sidi</v>
      </c>
      <c r="D3">
        <f t="shared" ref="D3:D66" ca="1" si="2">IFERROR(DATEDIF(AB3, AC3, "Y"), DATEDIF(AB3, TODAY(), "Y"))</f>
        <v>1</v>
      </c>
      <c r="E3" t="str" cm="1">
        <f t="array" ref="E3">_xlfn.IFS(P3&lt;40000, "Low", P3&lt;70000, "MID", P3&lt;100000, "HIGH", P3&gt;=100000, "Executive")</f>
        <v>Executive</v>
      </c>
      <c r="F3" t="str" cm="1">
        <f t="array" ref="F3">_xlfn.IFS(AJ3="Exceeds", "Top Performer", AJ3="Fully Meets", "Solid Performer", AJ3="Needs Improvement", "Underperformer", AJ3="PIP", "At Risk")</f>
        <v>Solid Performer</v>
      </c>
      <c r="G3" t="str" cm="1">
        <f t="array" ref="G3">_xlfn.IFS(AE3="Active", "Retained", AE3="Voluntarily Terminated", "Voluntary Exit", AE3="Terminated for Cause", "Involuntary Exit")</f>
        <v>Voluntary Exit</v>
      </c>
      <c r="H3">
        <v>10084</v>
      </c>
      <c r="I3">
        <v>1</v>
      </c>
      <c r="J3">
        <v>1</v>
      </c>
      <c r="K3">
        <v>1</v>
      </c>
      <c r="L3">
        <v>5</v>
      </c>
      <c r="M3">
        <v>3</v>
      </c>
      <c r="N3">
        <v>3</v>
      </c>
      <c r="O3">
        <v>0</v>
      </c>
      <c r="P3">
        <v>104437</v>
      </c>
      <c r="Q3">
        <v>1</v>
      </c>
      <c r="R3">
        <v>27</v>
      </c>
      <c r="S3" t="s">
        <v>58</v>
      </c>
      <c r="T3" t="s">
        <v>45</v>
      </c>
      <c r="U3">
        <v>2148</v>
      </c>
      <c r="V3" s="1">
        <v>27519</v>
      </c>
      <c r="W3" t="s">
        <v>46</v>
      </c>
      <c r="X3" t="s">
        <v>59</v>
      </c>
      <c r="Y3" t="s">
        <v>48</v>
      </c>
      <c r="Z3" t="s">
        <v>49</v>
      </c>
      <c r="AA3" t="s">
        <v>50</v>
      </c>
      <c r="AB3" s="1">
        <v>42093</v>
      </c>
      <c r="AC3" s="1">
        <v>42537</v>
      </c>
      <c r="AD3" t="s">
        <v>60</v>
      </c>
      <c r="AE3" t="s">
        <v>61</v>
      </c>
      <c r="AF3" t="s">
        <v>62</v>
      </c>
      <c r="AG3" t="s">
        <v>63</v>
      </c>
      <c r="AH3">
        <v>4</v>
      </c>
      <c r="AI3" t="s">
        <v>64</v>
      </c>
      <c r="AJ3" t="s">
        <v>65</v>
      </c>
      <c r="AK3">
        <v>4.96</v>
      </c>
      <c r="AL3">
        <v>3</v>
      </c>
      <c r="AM3">
        <v>6</v>
      </c>
      <c r="AN3" s="1">
        <v>42424</v>
      </c>
      <c r="AO3">
        <v>0</v>
      </c>
      <c r="AP3">
        <v>17</v>
      </c>
    </row>
    <row r="4" spans="1:42">
      <c r="A4" t="s">
        <v>66</v>
      </c>
      <c r="B4" t="str">
        <f t="shared" si="0"/>
        <v>Sarah</v>
      </c>
      <c r="C4" t="str">
        <f t="shared" si="1"/>
        <v>Akinkuolie</v>
      </c>
      <c r="D4">
        <f t="shared" ca="1" si="2"/>
        <v>1</v>
      </c>
      <c r="E4" t="str" cm="1">
        <f t="array" ref="E4">_xlfn.IFS(P4&lt;40000, "Low", P4&lt;70000, "MID", P4&lt;100000, "HIGH", P4&gt;=100000, "Executive")</f>
        <v>MID</v>
      </c>
      <c r="F4" t="str" cm="1">
        <f t="array" ref="F4">_xlfn.IFS(AJ4="Exceeds", "Top Performer", AJ4="Fully Meets", "Solid Performer", AJ4="Needs Improvement", "Underperformer", AJ4="PIP", "At Risk")</f>
        <v>Solid Performer</v>
      </c>
      <c r="G4" t="str" cm="1">
        <f t="array" ref="G4">_xlfn.IFS(AE4="Active", "Retained", AE4="Voluntarily Terminated", "Voluntary Exit", AE4="Terminated for Cause", "Involuntary Exit")</f>
        <v>Voluntary Exit</v>
      </c>
      <c r="H4">
        <v>10196</v>
      </c>
      <c r="I4">
        <v>1</v>
      </c>
      <c r="J4">
        <v>1</v>
      </c>
      <c r="K4">
        <v>0</v>
      </c>
      <c r="L4">
        <v>5</v>
      </c>
      <c r="M4">
        <v>5</v>
      </c>
      <c r="N4">
        <v>3</v>
      </c>
      <c r="O4">
        <v>0</v>
      </c>
      <c r="P4">
        <v>64955</v>
      </c>
      <c r="Q4">
        <v>1</v>
      </c>
      <c r="R4">
        <v>20</v>
      </c>
      <c r="S4" t="s">
        <v>67</v>
      </c>
      <c r="T4" t="s">
        <v>45</v>
      </c>
      <c r="U4">
        <v>1810</v>
      </c>
      <c r="V4" s="1">
        <v>32405</v>
      </c>
      <c r="W4" t="s">
        <v>68</v>
      </c>
      <c r="X4" t="s">
        <v>59</v>
      </c>
      <c r="Y4" t="s">
        <v>48</v>
      </c>
      <c r="Z4" t="s">
        <v>49</v>
      </c>
      <c r="AA4" t="s">
        <v>50</v>
      </c>
      <c r="AB4" s="1">
        <v>40729</v>
      </c>
      <c r="AC4" s="1">
        <v>41176</v>
      </c>
      <c r="AD4" t="s">
        <v>69</v>
      </c>
      <c r="AE4" t="s">
        <v>61</v>
      </c>
      <c r="AF4" t="s">
        <v>53</v>
      </c>
      <c r="AG4" t="s">
        <v>70</v>
      </c>
      <c r="AH4">
        <v>20</v>
      </c>
      <c r="AI4" t="s">
        <v>55</v>
      </c>
      <c r="AJ4" t="s">
        <v>65</v>
      </c>
      <c r="AK4">
        <v>3.02</v>
      </c>
      <c r="AL4">
        <v>3</v>
      </c>
      <c r="AM4">
        <v>0</v>
      </c>
      <c r="AN4" s="1">
        <v>41044</v>
      </c>
      <c r="AO4">
        <v>0</v>
      </c>
      <c r="AP4">
        <v>3</v>
      </c>
    </row>
    <row r="5" spans="1:42">
      <c r="A5" t="s">
        <v>71</v>
      </c>
      <c r="B5" t="str">
        <f t="shared" si="0"/>
        <v>Trina</v>
      </c>
      <c r="C5" t="str">
        <f t="shared" si="1"/>
        <v>Alagbe</v>
      </c>
      <c r="D5">
        <f t="shared" ca="1" si="2"/>
        <v>18</v>
      </c>
      <c r="E5" t="str" cm="1">
        <f t="array" ref="E5">_xlfn.IFS(P5&lt;40000, "Low", P5&lt;70000, "MID", P5&lt;100000, "HIGH", P5&gt;=100000, "Executive")</f>
        <v>MID</v>
      </c>
      <c r="F5" t="str" cm="1">
        <f t="array" ref="F5">_xlfn.IFS(AJ5="Exceeds", "Top Performer", AJ5="Fully Meets", "Solid Performer", AJ5="Needs Improvement", "Underperformer", AJ5="PIP", "At Risk")</f>
        <v>Solid Performer</v>
      </c>
      <c r="G5" t="str" cm="1">
        <f t="array" ref="G5">_xlfn.IFS(AE5="Active", "Retained", AE5="Voluntarily Terminated", "Voluntary Exit", AE5="Terminated for Cause", "Involuntary Exit")</f>
        <v>Retained</v>
      </c>
      <c r="H5">
        <v>10088</v>
      </c>
      <c r="I5">
        <v>1</v>
      </c>
      <c r="J5">
        <v>1</v>
      </c>
      <c r="K5">
        <v>0</v>
      </c>
      <c r="L5">
        <v>1</v>
      </c>
      <c r="M5">
        <v>5</v>
      </c>
      <c r="N5">
        <v>3</v>
      </c>
      <c r="O5">
        <v>0</v>
      </c>
      <c r="P5">
        <v>64991</v>
      </c>
      <c r="Q5">
        <v>0</v>
      </c>
      <c r="R5">
        <v>19</v>
      </c>
      <c r="S5" t="s">
        <v>44</v>
      </c>
      <c r="T5" t="s">
        <v>45</v>
      </c>
      <c r="U5">
        <v>1886</v>
      </c>
      <c r="V5" s="1">
        <v>32413</v>
      </c>
      <c r="W5" t="s">
        <v>68</v>
      </c>
      <c r="X5" t="s">
        <v>59</v>
      </c>
      <c r="Y5" t="s">
        <v>48</v>
      </c>
      <c r="Z5" t="s">
        <v>49</v>
      </c>
      <c r="AA5" t="s">
        <v>50</v>
      </c>
      <c r="AB5" s="1">
        <v>39454</v>
      </c>
      <c r="AD5" t="s">
        <v>51</v>
      </c>
      <c r="AE5" t="s">
        <v>52</v>
      </c>
      <c r="AF5" t="s">
        <v>53</v>
      </c>
      <c r="AG5" t="s">
        <v>72</v>
      </c>
      <c r="AH5">
        <v>16</v>
      </c>
      <c r="AI5" t="s">
        <v>64</v>
      </c>
      <c r="AJ5" t="s">
        <v>65</v>
      </c>
      <c r="AK5">
        <v>4.84</v>
      </c>
      <c r="AL5">
        <v>5</v>
      </c>
      <c r="AM5">
        <v>0</v>
      </c>
      <c r="AN5" s="1">
        <v>43468</v>
      </c>
      <c r="AO5">
        <v>0</v>
      </c>
      <c r="AP5">
        <v>15</v>
      </c>
    </row>
    <row r="6" spans="1:42">
      <c r="A6" t="s">
        <v>73</v>
      </c>
      <c r="B6" t="str">
        <f t="shared" si="0"/>
        <v>Carol</v>
      </c>
      <c r="C6" t="str">
        <f t="shared" si="1"/>
        <v>Anderson</v>
      </c>
      <c r="D6">
        <f t="shared" ca="1" si="2"/>
        <v>5</v>
      </c>
      <c r="E6" t="str" cm="1">
        <f t="array" ref="E6">_xlfn.IFS(P6&lt;40000, "Low", P6&lt;70000, "MID", P6&lt;100000, "HIGH", P6&gt;=100000, "Executive")</f>
        <v>MID</v>
      </c>
      <c r="F6" t="str" cm="1">
        <f t="array" ref="F6">_xlfn.IFS(AJ6="Exceeds", "Top Performer", AJ6="Fully Meets", "Solid Performer", AJ6="Needs Improvement", "Underperformer", AJ6="PIP", "At Risk")</f>
        <v>Solid Performer</v>
      </c>
      <c r="G6" t="str" cm="1">
        <f t="array" ref="G6">_xlfn.IFS(AE6="Active", "Retained", AE6="Voluntarily Terminated", "Voluntary Exit", AE6="Terminated for Cause", "Involuntary Exit")</f>
        <v>Voluntary Exit</v>
      </c>
      <c r="H6">
        <v>10069</v>
      </c>
      <c r="I6">
        <v>0</v>
      </c>
      <c r="J6">
        <v>2</v>
      </c>
      <c r="K6">
        <v>0</v>
      </c>
      <c r="L6">
        <v>5</v>
      </c>
      <c r="M6">
        <v>5</v>
      </c>
      <c r="N6">
        <v>3</v>
      </c>
      <c r="O6">
        <v>0</v>
      </c>
      <c r="P6">
        <v>50825</v>
      </c>
      <c r="Q6">
        <v>1</v>
      </c>
      <c r="R6">
        <v>19</v>
      </c>
      <c r="S6" t="s">
        <v>44</v>
      </c>
      <c r="T6" t="s">
        <v>45</v>
      </c>
      <c r="U6">
        <v>2169</v>
      </c>
      <c r="V6" s="1">
        <v>32759</v>
      </c>
      <c r="W6" t="s">
        <v>68</v>
      </c>
      <c r="X6" t="s">
        <v>74</v>
      </c>
      <c r="Y6" t="s">
        <v>48</v>
      </c>
      <c r="Z6" t="s">
        <v>49</v>
      </c>
      <c r="AA6" t="s">
        <v>50</v>
      </c>
      <c r="AB6" s="1">
        <v>40735</v>
      </c>
      <c r="AC6" s="1">
        <v>42619</v>
      </c>
      <c r="AD6" t="s">
        <v>75</v>
      </c>
      <c r="AE6" t="s">
        <v>61</v>
      </c>
      <c r="AF6" t="s">
        <v>53</v>
      </c>
      <c r="AG6" t="s">
        <v>76</v>
      </c>
      <c r="AH6">
        <v>39</v>
      </c>
      <c r="AI6" t="s">
        <v>77</v>
      </c>
      <c r="AJ6" t="s">
        <v>65</v>
      </c>
      <c r="AK6">
        <v>5</v>
      </c>
      <c r="AL6">
        <v>4</v>
      </c>
      <c r="AM6">
        <v>0</v>
      </c>
      <c r="AN6" s="1">
        <v>42401</v>
      </c>
      <c r="AO6">
        <v>0</v>
      </c>
      <c r="AP6">
        <v>2</v>
      </c>
    </row>
    <row r="7" spans="1:42">
      <c r="A7" t="s">
        <v>78</v>
      </c>
      <c r="B7" t="str">
        <f t="shared" si="0"/>
        <v>Linda</v>
      </c>
      <c r="C7" t="str">
        <f t="shared" si="1"/>
        <v>Anderson</v>
      </c>
      <c r="D7">
        <f t="shared" ca="1" si="2"/>
        <v>14</v>
      </c>
      <c r="E7" t="str" cm="1">
        <f t="array" ref="E7">_xlfn.IFS(P7&lt;40000, "Low", P7&lt;70000, "MID", P7&lt;100000, "HIGH", P7&gt;=100000, "Executive")</f>
        <v>MID</v>
      </c>
      <c r="F7" t="str" cm="1">
        <f t="array" ref="F7">_xlfn.IFS(AJ7="Exceeds", "Top Performer", AJ7="Fully Meets", "Solid Performer", AJ7="Needs Improvement", "Underperformer", AJ7="PIP", "At Risk")</f>
        <v>Top Performer</v>
      </c>
      <c r="G7" t="str" cm="1">
        <f t="array" ref="G7">_xlfn.IFS(AE7="Active", "Retained", AE7="Voluntarily Terminated", "Voluntary Exit", AE7="Terminated for Cause", "Involuntary Exit")</f>
        <v>Retained</v>
      </c>
      <c r="H7">
        <v>10002</v>
      </c>
      <c r="I7">
        <v>0</v>
      </c>
      <c r="J7">
        <v>0</v>
      </c>
      <c r="K7">
        <v>0</v>
      </c>
      <c r="L7">
        <v>1</v>
      </c>
      <c r="M7">
        <v>5</v>
      </c>
      <c r="N7">
        <v>4</v>
      </c>
      <c r="O7">
        <v>0</v>
      </c>
      <c r="P7">
        <v>57568</v>
      </c>
      <c r="Q7">
        <v>0</v>
      </c>
      <c r="R7">
        <v>19</v>
      </c>
      <c r="S7" t="s">
        <v>44</v>
      </c>
      <c r="T7" t="s">
        <v>45</v>
      </c>
      <c r="U7">
        <v>1844</v>
      </c>
      <c r="V7" s="1">
        <v>28267</v>
      </c>
      <c r="W7" t="s">
        <v>68</v>
      </c>
      <c r="X7" t="s">
        <v>47</v>
      </c>
      <c r="Y7" t="s">
        <v>48</v>
      </c>
      <c r="Z7" t="s">
        <v>49</v>
      </c>
      <c r="AA7" t="s">
        <v>50</v>
      </c>
      <c r="AB7" s="1">
        <v>40917</v>
      </c>
      <c r="AD7" t="s">
        <v>51</v>
      </c>
      <c r="AE7" t="s">
        <v>52</v>
      </c>
      <c r="AF7" t="s">
        <v>53</v>
      </c>
      <c r="AG7" t="s">
        <v>79</v>
      </c>
      <c r="AH7">
        <v>11</v>
      </c>
      <c r="AI7" t="s">
        <v>55</v>
      </c>
      <c r="AJ7" t="s">
        <v>56</v>
      </c>
      <c r="AK7">
        <v>5</v>
      </c>
      <c r="AL7">
        <v>5</v>
      </c>
      <c r="AM7">
        <v>0</v>
      </c>
      <c r="AN7" s="1">
        <v>43472</v>
      </c>
      <c r="AO7">
        <v>0</v>
      </c>
      <c r="AP7">
        <v>15</v>
      </c>
    </row>
    <row r="8" spans="1:42">
      <c r="A8" t="s">
        <v>80</v>
      </c>
      <c r="B8" t="str">
        <f t="shared" si="0"/>
        <v>Colby</v>
      </c>
      <c r="C8" t="str">
        <f t="shared" si="1"/>
        <v>Andreola</v>
      </c>
      <c r="D8">
        <f t="shared" ca="1" si="2"/>
        <v>11</v>
      </c>
      <c r="E8" t="str" cm="1">
        <f t="array" ref="E8">_xlfn.IFS(P8&lt;40000, "Low", P8&lt;70000, "MID", P8&lt;100000, "HIGH", P8&gt;=100000, "Executive")</f>
        <v>HIGH</v>
      </c>
      <c r="F8" t="str" cm="1">
        <f t="array" ref="F8">_xlfn.IFS(AJ8="Exceeds", "Top Performer", AJ8="Fully Meets", "Solid Performer", AJ8="Needs Improvement", "Underperformer", AJ8="PIP", "At Risk")</f>
        <v>Solid Performer</v>
      </c>
      <c r="G8" t="str" cm="1">
        <f t="array" ref="G8">_xlfn.IFS(AE8="Active", "Retained", AE8="Voluntarily Terminated", "Voluntary Exit", AE8="Terminated for Cause", "Involuntary Exit")</f>
        <v>Retained</v>
      </c>
      <c r="H8">
        <v>10194</v>
      </c>
      <c r="I8">
        <v>0</v>
      </c>
      <c r="J8">
        <v>0</v>
      </c>
      <c r="K8">
        <v>0</v>
      </c>
      <c r="L8">
        <v>1</v>
      </c>
      <c r="M8">
        <v>4</v>
      </c>
      <c r="N8">
        <v>3</v>
      </c>
      <c r="O8">
        <v>0</v>
      </c>
      <c r="P8">
        <v>95660</v>
      </c>
      <c r="Q8">
        <v>0</v>
      </c>
      <c r="R8">
        <v>24</v>
      </c>
      <c r="S8" t="s">
        <v>81</v>
      </c>
      <c r="T8" t="s">
        <v>45</v>
      </c>
      <c r="U8">
        <v>2110</v>
      </c>
      <c r="V8" s="1">
        <v>28999</v>
      </c>
      <c r="W8" t="s">
        <v>68</v>
      </c>
      <c r="X8" t="s">
        <v>47</v>
      </c>
      <c r="Y8" t="s">
        <v>48</v>
      </c>
      <c r="Z8" t="s">
        <v>49</v>
      </c>
      <c r="AA8" t="s">
        <v>50</v>
      </c>
      <c r="AB8" s="1">
        <v>41953</v>
      </c>
      <c r="AD8" t="s">
        <v>51</v>
      </c>
      <c r="AE8" t="s">
        <v>52</v>
      </c>
      <c r="AF8" t="s">
        <v>82</v>
      </c>
      <c r="AG8" t="s">
        <v>83</v>
      </c>
      <c r="AH8">
        <v>10</v>
      </c>
      <c r="AI8" t="s">
        <v>55</v>
      </c>
      <c r="AJ8" t="s">
        <v>65</v>
      </c>
      <c r="AK8">
        <v>3.04</v>
      </c>
      <c r="AL8">
        <v>3</v>
      </c>
      <c r="AM8">
        <v>4</v>
      </c>
      <c r="AN8" s="1">
        <v>43467</v>
      </c>
      <c r="AO8">
        <v>0</v>
      </c>
      <c r="AP8">
        <v>19</v>
      </c>
    </row>
    <row r="9" spans="1:42">
      <c r="A9" t="s">
        <v>84</v>
      </c>
      <c r="B9" t="str">
        <f t="shared" si="0"/>
        <v>Sam</v>
      </c>
      <c r="C9" t="str">
        <f t="shared" si="1"/>
        <v>Athwal</v>
      </c>
      <c r="D9">
        <f t="shared" ca="1" si="2"/>
        <v>12</v>
      </c>
      <c r="E9" t="str" cm="1">
        <f t="array" ref="E9">_xlfn.IFS(P9&lt;40000, "Low", P9&lt;70000, "MID", P9&lt;100000, "HIGH", P9&gt;=100000, "Executive")</f>
        <v>MID</v>
      </c>
      <c r="F9" t="str" cm="1">
        <f t="array" ref="F9">_xlfn.IFS(AJ9="Exceeds", "Top Performer", AJ9="Fully Meets", "Solid Performer", AJ9="Needs Improvement", "Underperformer", AJ9="PIP", "At Risk")</f>
        <v>Solid Performer</v>
      </c>
      <c r="G9" t="str" cm="1">
        <f t="array" ref="G9">_xlfn.IFS(AE9="Active", "Retained", AE9="Voluntarily Terminated", "Voluntary Exit", AE9="Terminated for Cause", "Involuntary Exit")</f>
        <v>Retained</v>
      </c>
      <c r="H9">
        <v>10062</v>
      </c>
      <c r="I9">
        <v>0</v>
      </c>
      <c r="J9">
        <v>4</v>
      </c>
      <c r="K9">
        <v>1</v>
      </c>
      <c r="L9">
        <v>1</v>
      </c>
      <c r="M9">
        <v>5</v>
      </c>
      <c r="N9">
        <v>3</v>
      </c>
      <c r="O9">
        <v>0</v>
      </c>
      <c r="P9">
        <v>59365</v>
      </c>
      <c r="Q9">
        <v>0</v>
      </c>
      <c r="R9">
        <v>19</v>
      </c>
      <c r="S9" t="s">
        <v>44</v>
      </c>
      <c r="T9" t="s">
        <v>45</v>
      </c>
      <c r="U9">
        <v>2199</v>
      </c>
      <c r="V9" s="1">
        <v>30365</v>
      </c>
      <c r="W9" t="s">
        <v>46</v>
      </c>
      <c r="X9" t="s">
        <v>85</v>
      </c>
      <c r="Y9" t="s">
        <v>48</v>
      </c>
      <c r="Z9" t="s">
        <v>49</v>
      </c>
      <c r="AA9" t="s">
        <v>50</v>
      </c>
      <c r="AB9" s="1">
        <v>41547</v>
      </c>
      <c r="AD9" t="s">
        <v>51</v>
      </c>
      <c r="AE9" t="s">
        <v>52</v>
      </c>
      <c r="AF9" t="s">
        <v>53</v>
      </c>
      <c r="AG9" t="s">
        <v>86</v>
      </c>
      <c r="AH9">
        <v>19</v>
      </c>
      <c r="AI9" t="s">
        <v>87</v>
      </c>
      <c r="AJ9" t="s">
        <v>65</v>
      </c>
      <c r="AK9">
        <v>5</v>
      </c>
      <c r="AL9">
        <v>4</v>
      </c>
      <c r="AM9">
        <v>0</v>
      </c>
      <c r="AN9" s="1">
        <v>43521</v>
      </c>
      <c r="AO9">
        <v>0</v>
      </c>
      <c r="AP9">
        <v>19</v>
      </c>
    </row>
    <row r="10" spans="1:42">
      <c r="A10" t="s">
        <v>88</v>
      </c>
      <c r="B10" t="str">
        <f t="shared" si="0"/>
        <v>Linda</v>
      </c>
      <c r="C10" t="str">
        <f t="shared" si="1"/>
        <v>Bachiochi</v>
      </c>
      <c r="D10">
        <f t="shared" ca="1" si="2"/>
        <v>16</v>
      </c>
      <c r="E10" t="str" cm="1">
        <f t="array" ref="E10">_xlfn.IFS(P10&lt;40000, "Low", P10&lt;70000, "MID", P10&lt;100000, "HIGH", P10&gt;=100000, "Executive")</f>
        <v>MID</v>
      </c>
      <c r="F10" t="str" cm="1">
        <f t="array" ref="F10">_xlfn.IFS(AJ10="Exceeds", "Top Performer", AJ10="Fully Meets", "Solid Performer", AJ10="Needs Improvement", "Underperformer", AJ10="PIP", "At Risk")</f>
        <v>Solid Performer</v>
      </c>
      <c r="G10" t="str" cm="1">
        <f t="array" ref="G10">_xlfn.IFS(AE10="Active", "Retained", AE10="Voluntarily Terminated", "Voluntary Exit", AE10="Terminated for Cause", "Involuntary Exit")</f>
        <v>Retained</v>
      </c>
      <c r="H10">
        <v>10114</v>
      </c>
      <c r="I10">
        <v>0</v>
      </c>
      <c r="J10">
        <v>0</v>
      </c>
      <c r="K10">
        <v>0</v>
      </c>
      <c r="L10">
        <v>3</v>
      </c>
      <c r="M10">
        <v>5</v>
      </c>
      <c r="N10">
        <v>3</v>
      </c>
      <c r="O10">
        <v>1</v>
      </c>
      <c r="P10">
        <v>47837</v>
      </c>
      <c r="Q10">
        <v>0</v>
      </c>
      <c r="R10">
        <v>19</v>
      </c>
      <c r="S10" t="s">
        <v>44</v>
      </c>
      <c r="T10" t="s">
        <v>45</v>
      </c>
      <c r="U10">
        <v>1902</v>
      </c>
      <c r="V10" s="1">
        <v>25610</v>
      </c>
      <c r="W10" t="s">
        <v>68</v>
      </c>
      <c r="X10" t="s">
        <v>47</v>
      </c>
      <c r="Y10" t="s">
        <v>48</v>
      </c>
      <c r="Z10" t="s">
        <v>49</v>
      </c>
      <c r="AA10" t="s">
        <v>89</v>
      </c>
      <c r="AB10" s="1">
        <v>40000</v>
      </c>
      <c r="AD10" t="s">
        <v>51</v>
      </c>
      <c r="AE10" t="s">
        <v>52</v>
      </c>
      <c r="AF10" t="s">
        <v>53</v>
      </c>
      <c r="AG10" t="s">
        <v>90</v>
      </c>
      <c r="AH10">
        <v>12</v>
      </c>
      <c r="AI10" t="s">
        <v>91</v>
      </c>
      <c r="AJ10" t="s">
        <v>65</v>
      </c>
      <c r="AK10">
        <v>4.46</v>
      </c>
      <c r="AL10">
        <v>3</v>
      </c>
      <c r="AM10">
        <v>0</v>
      </c>
      <c r="AN10" s="1">
        <v>43490</v>
      </c>
      <c r="AO10">
        <v>0</v>
      </c>
      <c r="AP10">
        <v>4</v>
      </c>
    </row>
    <row r="11" spans="1:42">
      <c r="A11" t="s">
        <v>92</v>
      </c>
      <c r="B11" t="str">
        <f t="shared" si="0"/>
        <v>Alejandro</v>
      </c>
      <c r="C11" t="str">
        <f t="shared" si="1"/>
        <v>Bacong</v>
      </c>
      <c r="D11">
        <f t="shared" ca="1" si="2"/>
        <v>11</v>
      </c>
      <c r="E11" t="str" cm="1">
        <f t="array" ref="E11">_xlfn.IFS(P11&lt;40000, "Low", P11&lt;70000, "MID", P11&lt;100000, "HIGH", P11&gt;=100000, "Executive")</f>
        <v>MID</v>
      </c>
      <c r="F11" t="str" cm="1">
        <f t="array" ref="F11">_xlfn.IFS(AJ11="Exceeds", "Top Performer", AJ11="Fully Meets", "Solid Performer", AJ11="Needs Improvement", "Underperformer", AJ11="PIP", "At Risk")</f>
        <v>Solid Performer</v>
      </c>
      <c r="G11" t="str" cm="1">
        <f t="array" ref="G11">_xlfn.IFS(AE11="Active", "Retained", AE11="Voluntarily Terminated", "Voluntary Exit", AE11="Terminated for Cause", "Involuntary Exit")</f>
        <v>Retained</v>
      </c>
      <c r="H11">
        <v>10250</v>
      </c>
      <c r="I11">
        <v>0</v>
      </c>
      <c r="J11">
        <v>2</v>
      </c>
      <c r="K11">
        <v>1</v>
      </c>
      <c r="L11">
        <v>1</v>
      </c>
      <c r="M11">
        <v>3</v>
      </c>
      <c r="N11">
        <v>3</v>
      </c>
      <c r="O11">
        <v>0</v>
      </c>
      <c r="P11">
        <v>50178</v>
      </c>
      <c r="Q11">
        <v>0</v>
      </c>
      <c r="R11">
        <v>14</v>
      </c>
      <c r="S11" t="s">
        <v>93</v>
      </c>
      <c r="T11" t="s">
        <v>45</v>
      </c>
      <c r="U11">
        <v>1886</v>
      </c>
      <c r="V11" s="1">
        <v>32149</v>
      </c>
      <c r="W11" t="s">
        <v>46</v>
      </c>
      <c r="X11" t="s">
        <v>74</v>
      </c>
      <c r="Y11" t="s">
        <v>48</v>
      </c>
      <c r="Z11" t="s">
        <v>49</v>
      </c>
      <c r="AA11" t="s">
        <v>50</v>
      </c>
      <c r="AB11" s="1">
        <v>42009</v>
      </c>
      <c r="AD11" t="s">
        <v>51</v>
      </c>
      <c r="AE11" t="s">
        <v>52</v>
      </c>
      <c r="AF11" t="s">
        <v>62</v>
      </c>
      <c r="AG11" t="s">
        <v>94</v>
      </c>
      <c r="AH11">
        <v>7</v>
      </c>
      <c r="AI11" t="s">
        <v>64</v>
      </c>
      <c r="AJ11" t="s">
        <v>65</v>
      </c>
      <c r="AK11">
        <v>5</v>
      </c>
      <c r="AL11">
        <v>5</v>
      </c>
      <c r="AM11">
        <v>6</v>
      </c>
      <c r="AN11" s="1">
        <v>43514</v>
      </c>
      <c r="AO11">
        <v>0</v>
      </c>
      <c r="AP11">
        <v>16</v>
      </c>
    </row>
    <row r="12" spans="1:42">
      <c r="A12" t="s">
        <v>95</v>
      </c>
      <c r="B12" t="str">
        <f t="shared" si="0"/>
        <v>Rachael</v>
      </c>
      <c r="C12" t="str">
        <f t="shared" si="1"/>
        <v>Baczenski</v>
      </c>
      <c r="D12">
        <f t="shared" ca="1" si="2"/>
        <v>6</v>
      </c>
      <c r="E12" t="str" cm="1">
        <f t="array" ref="E12">_xlfn.IFS(P12&lt;40000, "Low", P12&lt;70000, "MID", P12&lt;100000, "HIGH", P12&gt;=100000, "Executive")</f>
        <v>MID</v>
      </c>
      <c r="F12" t="str" cm="1">
        <f t="array" ref="F12">_xlfn.IFS(AJ12="Exceeds", "Top Performer", AJ12="Fully Meets", "Solid Performer", AJ12="Needs Improvement", "Underperformer", AJ12="PIP", "At Risk")</f>
        <v>Solid Performer</v>
      </c>
      <c r="G12" t="str" cm="1">
        <f t="array" ref="G12">_xlfn.IFS(AE12="Active", "Retained", AE12="Voluntarily Terminated", "Voluntary Exit", AE12="Terminated for Cause", "Involuntary Exit")</f>
        <v>Voluntary Exit</v>
      </c>
      <c r="H12">
        <v>10252</v>
      </c>
      <c r="I12">
        <v>1</v>
      </c>
      <c r="J12">
        <v>1</v>
      </c>
      <c r="K12">
        <v>0</v>
      </c>
      <c r="L12">
        <v>5</v>
      </c>
      <c r="M12">
        <v>5</v>
      </c>
      <c r="N12">
        <v>3</v>
      </c>
      <c r="O12">
        <v>1</v>
      </c>
      <c r="P12">
        <v>54670</v>
      </c>
      <c r="Q12">
        <v>1</v>
      </c>
      <c r="R12">
        <v>19</v>
      </c>
      <c r="S12" t="s">
        <v>44</v>
      </c>
      <c r="T12" t="s">
        <v>45</v>
      </c>
      <c r="U12">
        <v>1902</v>
      </c>
      <c r="V12" s="1">
        <v>27041</v>
      </c>
      <c r="W12" t="s">
        <v>68</v>
      </c>
      <c r="X12" t="s">
        <v>59</v>
      </c>
      <c r="Y12" t="s">
        <v>48</v>
      </c>
      <c r="Z12" t="s">
        <v>96</v>
      </c>
      <c r="AA12" t="s">
        <v>89</v>
      </c>
      <c r="AB12" s="1">
        <v>40553</v>
      </c>
      <c r="AC12" s="1">
        <v>42747</v>
      </c>
      <c r="AD12" t="s">
        <v>97</v>
      </c>
      <c r="AE12" t="s">
        <v>61</v>
      </c>
      <c r="AF12" t="s">
        <v>53</v>
      </c>
      <c r="AG12" t="s">
        <v>98</v>
      </c>
      <c r="AH12">
        <v>14</v>
      </c>
      <c r="AI12" t="s">
        <v>91</v>
      </c>
      <c r="AJ12" t="s">
        <v>65</v>
      </c>
      <c r="AK12">
        <v>4.2</v>
      </c>
      <c r="AL12">
        <v>4</v>
      </c>
      <c r="AM12">
        <v>0</v>
      </c>
      <c r="AN12" s="1">
        <v>42399</v>
      </c>
      <c r="AO12">
        <v>0</v>
      </c>
      <c r="AP12">
        <v>12</v>
      </c>
    </row>
    <row r="13" spans="1:42">
      <c r="A13" t="s">
        <v>99</v>
      </c>
      <c r="B13" t="str">
        <f t="shared" si="0"/>
        <v>Thomas</v>
      </c>
      <c r="C13" t="str">
        <f t="shared" si="1"/>
        <v>Barbara</v>
      </c>
      <c r="D13">
        <f t="shared" ca="1" si="2"/>
        <v>4</v>
      </c>
      <c r="E13" t="str" cm="1">
        <f t="array" ref="E13">_xlfn.IFS(P13&lt;40000, "Low", P13&lt;70000, "MID", P13&lt;100000, "HIGH", P13&gt;=100000, "Executive")</f>
        <v>MID</v>
      </c>
      <c r="F13" t="str" cm="1">
        <f t="array" ref="F13">_xlfn.IFS(AJ13="Exceeds", "Top Performer", AJ13="Fully Meets", "Solid Performer", AJ13="Needs Improvement", "Underperformer", AJ13="PIP", "At Risk")</f>
        <v>Solid Performer</v>
      </c>
      <c r="G13" t="str" cm="1">
        <f t="array" ref="G13">_xlfn.IFS(AE13="Active", "Retained", AE13="Voluntarily Terminated", "Voluntary Exit", AE13="Terminated for Cause", "Involuntary Exit")</f>
        <v>Voluntary Exit</v>
      </c>
      <c r="H13">
        <v>10242</v>
      </c>
      <c r="I13">
        <v>1</v>
      </c>
      <c r="J13">
        <v>1</v>
      </c>
      <c r="K13">
        <v>1</v>
      </c>
      <c r="L13">
        <v>5</v>
      </c>
      <c r="M13">
        <v>5</v>
      </c>
      <c r="N13">
        <v>3</v>
      </c>
      <c r="O13">
        <v>1</v>
      </c>
      <c r="P13">
        <v>47211</v>
      </c>
      <c r="Q13">
        <v>1</v>
      </c>
      <c r="R13">
        <v>19</v>
      </c>
      <c r="S13" t="s">
        <v>44</v>
      </c>
      <c r="T13" t="s">
        <v>45</v>
      </c>
      <c r="U13">
        <v>2062</v>
      </c>
      <c r="V13" s="1">
        <v>27081</v>
      </c>
      <c r="W13" t="s">
        <v>46</v>
      </c>
      <c r="X13" t="s">
        <v>59</v>
      </c>
      <c r="Y13" t="s">
        <v>48</v>
      </c>
      <c r="Z13" t="s">
        <v>96</v>
      </c>
      <c r="AA13" t="s">
        <v>89</v>
      </c>
      <c r="AB13" s="1">
        <v>41001</v>
      </c>
      <c r="AC13" s="1">
        <v>42632</v>
      </c>
      <c r="AD13" t="s">
        <v>100</v>
      </c>
      <c r="AE13" t="s">
        <v>61</v>
      </c>
      <c r="AF13" t="s">
        <v>53</v>
      </c>
      <c r="AG13" t="s">
        <v>70</v>
      </c>
      <c r="AH13">
        <v>20</v>
      </c>
      <c r="AI13" t="s">
        <v>91</v>
      </c>
      <c r="AJ13" t="s">
        <v>65</v>
      </c>
      <c r="AK13">
        <v>4.2</v>
      </c>
      <c r="AL13">
        <v>3</v>
      </c>
      <c r="AM13">
        <v>0</v>
      </c>
      <c r="AN13" s="1">
        <v>42496</v>
      </c>
      <c r="AO13">
        <v>0</v>
      </c>
      <c r="AP13">
        <v>15</v>
      </c>
    </row>
    <row r="14" spans="1:42">
      <c r="A14" t="s">
        <v>101</v>
      </c>
      <c r="B14" t="str">
        <f t="shared" si="0"/>
        <v>Hector</v>
      </c>
      <c r="C14" t="str">
        <f t="shared" si="1"/>
        <v>Barbossa</v>
      </c>
      <c r="D14">
        <f t="shared" ca="1" si="2"/>
        <v>11</v>
      </c>
      <c r="E14" t="str" cm="1">
        <f t="array" ref="E14">_xlfn.IFS(P14&lt;40000, "Low", P14&lt;70000, "MID", P14&lt;100000, "HIGH", P14&gt;=100000, "Executive")</f>
        <v>HIGH</v>
      </c>
      <c r="F14" t="str" cm="1">
        <f t="array" ref="F14">_xlfn.IFS(AJ14="Exceeds", "Top Performer", AJ14="Fully Meets", "Solid Performer", AJ14="Needs Improvement", "Underperformer", AJ14="PIP", "At Risk")</f>
        <v>Top Performer</v>
      </c>
      <c r="G14" t="str" cm="1">
        <f t="array" ref="G14">_xlfn.IFS(AE14="Active", "Retained", AE14="Voluntarily Terminated", "Voluntary Exit", AE14="Terminated for Cause", "Involuntary Exit")</f>
        <v>Retained</v>
      </c>
      <c r="H14">
        <v>10012</v>
      </c>
      <c r="I14">
        <v>0</v>
      </c>
      <c r="J14">
        <v>2</v>
      </c>
      <c r="K14">
        <v>1</v>
      </c>
      <c r="L14">
        <v>1</v>
      </c>
      <c r="M14">
        <v>3</v>
      </c>
      <c r="N14">
        <v>4</v>
      </c>
      <c r="O14">
        <v>1</v>
      </c>
      <c r="P14">
        <v>92328</v>
      </c>
      <c r="Q14">
        <v>0</v>
      </c>
      <c r="R14">
        <v>9</v>
      </c>
      <c r="S14" t="s">
        <v>102</v>
      </c>
      <c r="T14" t="s">
        <v>103</v>
      </c>
      <c r="U14">
        <v>78230</v>
      </c>
      <c r="V14" s="1">
        <v>32328</v>
      </c>
      <c r="W14" t="s">
        <v>46</v>
      </c>
      <c r="X14" t="s">
        <v>74</v>
      </c>
      <c r="Y14" t="s">
        <v>48</v>
      </c>
      <c r="Z14" t="s">
        <v>49</v>
      </c>
      <c r="AA14" t="s">
        <v>89</v>
      </c>
      <c r="AB14" s="1">
        <v>41953</v>
      </c>
      <c r="AD14" t="s">
        <v>51</v>
      </c>
      <c r="AE14" t="s">
        <v>52</v>
      </c>
      <c r="AF14" t="s">
        <v>62</v>
      </c>
      <c r="AG14" t="s">
        <v>63</v>
      </c>
      <c r="AH14">
        <v>4</v>
      </c>
      <c r="AI14" t="s">
        <v>91</v>
      </c>
      <c r="AJ14" t="s">
        <v>56</v>
      </c>
      <c r="AK14">
        <v>4.28</v>
      </c>
      <c r="AL14">
        <v>4</v>
      </c>
      <c r="AM14">
        <v>5</v>
      </c>
      <c r="AN14" s="1">
        <v>43521</v>
      </c>
      <c r="AO14">
        <v>0</v>
      </c>
      <c r="AP14">
        <v>9</v>
      </c>
    </row>
    <row r="15" spans="1:42">
      <c r="A15" t="s">
        <v>104</v>
      </c>
      <c r="B15" t="str">
        <f t="shared" si="0"/>
        <v>Francesco A</v>
      </c>
      <c r="C15" t="str">
        <f t="shared" si="1"/>
        <v>Barone</v>
      </c>
      <c r="D15">
        <f t="shared" ca="1" si="2"/>
        <v>14</v>
      </c>
      <c r="E15" t="str" cm="1">
        <f t="array" ref="E15">_xlfn.IFS(P15&lt;40000, "Low", P15&lt;70000, "MID", P15&lt;100000, "HIGH", P15&gt;=100000, "Executive")</f>
        <v>MID</v>
      </c>
      <c r="F15" t="str" cm="1">
        <f t="array" ref="F15">_xlfn.IFS(AJ15="Exceeds", "Top Performer", AJ15="Fully Meets", "Solid Performer", AJ15="Needs Improvement", "Underperformer", AJ15="PIP", "At Risk")</f>
        <v>Solid Performer</v>
      </c>
      <c r="G15" t="str" cm="1">
        <f t="array" ref="G15">_xlfn.IFS(AE15="Active", "Retained", AE15="Voluntarily Terminated", "Voluntary Exit", AE15="Terminated for Cause", "Involuntary Exit")</f>
        <v>Retained</v>
      </c>
      <c r="H15">
        <v>10265</v>
      </c>
      <c r="I15">
        <v>0</v>
      </c>
      <c r="J15">
        <v>0</v>
      </c>
      <c r="K15">
        <v>1</v>
      </c>
      <c r="L15">
        <v>1</v>
      </c>
      <c r="M15">
        <v>5</v>
      </c>
      <c r="N15">
        <v>3</v>
      </c>
      <c r="O15">
        <v>0</v>
      </c>
      <c r="P15">
        <v>58709</v>
      </c>
      <c r="Q15">
        <v>0</v>
      </c>
      <c r="R15">
        <v>19</v>
      </c>
      <c r="S15" t="s">
        <v>44</v>
      </c>
      <c r="T15" t="s">
        <v>45</v>
      </c>
      <c r="U15">
        <v>1810</v>
      </c>
      <c r="V15" s="1">
        <v>30517</v>
      </c>
      <c r="W15" t="s">
        <v>46</v>
      </c>
      <c r="X15" t="s">
        <v>47</v>
      </c>
      <c r="Y15" t="s">
        <v>48</v>
      </c>
      <c r="Z15" t="s">
        <v>49</v>
      </c>
      <c r="AA15" t="s">
        <v>105</v>
      </c>
      <c r="AB15" s="1">
        <v>40959</v>
      </c>
      <c r="AD15" t="s">
        <v>51</v>
      </c>
      <c r="AE15" t="s">
        <v>52</v>
      </c>
      <c r="AF15" t="s">
        <v>53</v>
      </c>
      <c r="AG15" t="s">
        <v>106</v>
      </c>
      <c r="AH15">
        <v>18</v>
      </c>
      <c r="AI15" t="s">
        <v>77</v>
      </c>
      <c r="AJ15" t="s">
        <v>65</v>
      </c>
      <c r="AK15">
        <v>4.5999999999999996</v>
      </c>
      <c r="AL15">
        <v>4</v>
      </c>
      <c r="AM15">
        <v>0</v>
      </c>
      <c r="AN15" s="1">
        <v>43510</v>
      </c>
      <c r="AO15">
        <v>0</v>
      </c>
      <c r="AP15">
        <v>7</v>
      </c>
    </row>
    <row r="16" spans="1:42">
      <c r="A16" t="s">
        <v>107</v>
      </c>
      <c r="B16" t="str">
        <f t="shared" si="0"/>
        <v>Nader</v>
      </c>
      <c r="C16" t="str">
        <f t="shared" si="1"/>
        <v>Barton</v>
      </c>
      <c r="D16">
        <f t="shared" ca="1" si="2"/>
        <v>4</v>
      </c>
      <c r="E16" t="str" cm="1">
        <f t="array" ref="E16">_xlfn.IFS(P16&lt;40000, "Low", P16&lt;70000, "MID", P16&lt;100000, "HIGH", P16&gt;=100000, "Executive")</f>
        <v>MID</v>
      </c>
      <c r="F16" t="str" cm="1">
        <f t="array" ref="F16">_xlfn.IFS(AJ16="Exceeds", "Top Performer", AJ16="Fully Meets", "Solid Performer", AJ16="Needs Improvement", "Underperformer", AJ16="PIP", "At Risk")</f>
        <v>Solid Performer</v>
      </c>
      <c r="G16" t="str" cm="1">
        <f t="array" ref="G16">_xlfn.IFS(AE16="Active", "Retained", AE16="Voluntarily Terminated", "Voluntary Exit", AE16="Terminated for Cause", "Involuntary Exit")</f>
        <v>Voluntary Exit</v>
      </c>
      <c r="H16">
        <v>10066</v>
      </c>
      <c r="I16">
        <v>0</v>
      </c>
      <c r="J16">
        <v>2</v>
      </c>
      <c r="K16">
        <v>1</v>
      </c>
      <c r="L16">
        <v>5</v>
      </c>
      <c r="M16">
        <v>5</v>
      </c>
      <c r="N16">
        <v>3</v>
      </c>
      <c r="O16">
        <v>0</v>
      </c>
      <c r="P16">
        <v>52505</v>
      </c>
      <c r="Q16">
        <v>1</v>
      </c>
      <c r="R16">
        <v>19</v>
      </c>
      <c r="S16" t="s">
        <v>44</v>
      </c>
      <c r="T16" t="s">
        <v>45</v>
      </c>
      <c r="U16">
        <v>2747</v>
      </c>
      <c r="V16" s="1">
        <v>28321</v>
      </c>
      <c r="W16" t="s">
        <v>46</v>
      </c>
      <c r="X16" t="s">
        <v>74</v>
      </c>
      <c r="Y16" t="s">
        <v>48</v>
      </c>
      <c r="Z16" t="s">
        <v>49</v>
      </c>
      <c r="AA16" t="s">
        <v>50</v>
      </c>
      <c r="AB16" s="1">
        <v>41176</v>
      </c>
      <c r="AC16" s="1">
        <v>42831</v>
      </c>
      <c r="AD16" t="s">
        <v>97</v>
      </c>
      <c r="AE16" t="s">
        <v>61</v>
      </c>
      <c r="AF16" t="s">
        <v>53</v>
      </c>
      <c r="AG16" t="s">
        <v>54</v>
      </c>
      <c r="AH16">
        <v>22</v>
      </c>
      <c r="AI16" t="s">
        <v>108</v>
      </c>
      <c r="AJ16" t="s">
        <v>65</v>
      </c>
      <c r="AK16">
        <v>5</v>
      </c>
      <c r="AL16">
        <v>5</v>
      </c>
      <c r="AM16">
        <v>0</v>
      </c>
      <c r="AN16" s="1">
        <v>42796</v>
      </c>
      <c r="AO16">
        <v>0</v>
      </c>
      <c r="AP16">
        <v>1</v>
      </c>
    </row>
    <row r="17" spans="1:42">
      <c r="A17" t="s">
        <v>109</v>
      </c>
      <c r="B17" t="str">
        <f t="shared" si="0"/>
        <v>Norman</v>
      </c>
      <c r="C17" t="str">
        <f t="shared" si="1"/>
        <v>Bates</v>
      </c>
      <c r="D17">
        <f t="shared" ca="1" si="2"/>
        <v>6</v>
      </c>
      <c r="E17" t="str" cm="1">
        <f t="array" ref="E17">_xlfn.IFS(P17&lt;40000, "Low", P17&lt;70000, "MID", P17&lt;100000, "HIGH", P17&gt;=100000, "Executive")</f>
        <v>MID</v>
      </c>
      <c r="F17" t="str" cm="1">
        <f t="array" ref="F17">_xlfn.IFS(AJ17="Exceeds", "Top Performer", AJ17="Fully Meets", "Solid Performer", AJ17="Needs Improvement", "Underperformer", AJ17="PIP", "At Risk")</f>
        <v>Solid Performer</v>
      </c>
      <c r="G17" t="str" cm="1">
        <f t="array" ref="G17">_xlfn.IFS(AE17="Active", "Retained", AE17="Voluntarily Terminated", "Voluntary Exit", AE17="Terminated for Cause", "Involuntary Exit")</f>
        <v>Involuntary Exit</v>
      </c>
      <c r="H17">
        <v>10061</v>
      </c>
      <c r="I17">
        <v>0</v>
      </c>
      <c r="J17">
        <v>0</v>
      </c>
      <c r="K17">
        <v>1</v>
      </c>
      <c r="L17">
        <v>4</v>
      </c>
      <c r="M17">
        <v>5</v>
      </c>
      <c r="N17">
        <v>3</v>
      </c>
      <c r="O17">
        <v>0</v>
      </c>
      <c r="P17">
        <v>57834</v>
      </c>
      <c r="Q17">
        <v>1</v>
      </c>
      <c r="R17">
        <v>19</v>
      </c>
      <c r="S17" t="s">
        <v>44</v>
      </c>
      <c r="T17" t="s">
        <v>45</v>
      </c>
      <c r="U17">
        <v>2050</v>
      </c>
      <c r="V17" s="1">
        <v>29877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  <c r="AB17" s="1">
        <v>40595</v>
      </c>
      <c r="AC17" s="1">
        <v>42951</v>
      </c>
      <c r="AD17" t="s">
        <v>110</v>
      </c>
      <c r="AE17" t="s">
        <v>111</v>
      </c>
      <c r="AF17" t="s">
        <v>53</v>
      </c>
      <c r="AG17" t="s">
        <v>106</v>
      </c>
      <c r="AH17">
        <v>18</v>
      </c>
      <c r="AI17" t="s">
        <v>77</v>
      </c>
      <c r="AJ17" t="s">
        <v>65</v>
      </c>
      <c r="AK17">
        <v>5</v>
      </c>
      <c r="AL17">
        <v>4</v>
      </c>
      <c r="AM17">
        <v>0</v>
      </c>
      <c r="AN17" s="1">
        <v>42830</v>
      </c>
      <c r="AO17">
        <v>0</v>
      </c>
      <c r="AP17">
        <v>20</v>
      </c>
    </row>
    <row r="18" spans="1:42">
      <c r="A18" t="s">
        <v>112</v>
      </c>
      <c r="B18" t="str">
        <f t="shared" si="0"/>
        <v>Kimberly</v>
      </c>
      <c r="C18" t="str">
        <f t="shared" si="1"/>
        <v>Beak</v>
      </c>
      <c r="D18">
        <f t="shared" ca="1" si="2"/>
        <v>9</v>
      </c>
      <c r="E18" t="str" cm="1">
        <f t="array" ref="E18">_xlfn.IFS(P18&lt;40000, "Low", P18&lt;70000, "MID", P18&lt;100000, "HIGH", P18&gt;=100000, "Executive")</f>
        <v>HIGH</v>
      </c>
      <c r="F18" t="str" cm="1">
        <f t="array" ref="F18">_xlfn.IFS(AJ18="Exceeds", "Top Performer", AJ18="Fully Meets", "Solid Performer", AJ18="Needs Improvement", "Underperformer", AJ18="PIP", "At Risk")</f>
        <v>Top Performer</v>
      </c>
      <c r="G18" t="str" cm="1">
        <f t="array" ref="G18">_xlfn.IFS(AE18="Active", "Retained", AE18="Voluntarily Terminated", "Voluntary Exit", AE18="Terminated for Cause", "Involuntary Exit")</f>
        <v>Retained</v>
      </c>
      <c r="H18">
        <v>10023</v>
      </c>
      <c r="I18">
        <v>1</v>
      </c>
      <c r="J18">
        <v>1</v>
      </c>
      <c r="K18">
        <v>0</v>
      </c>
      <c r="L18">
        <v>2</v>
      </c>
      <c r="M18">
        <v>5</v>
      </c>
      <c r="N18">
        <v>4</v>
      </c>
      <c r="O18">
        <v>0</v>
      </c>
      <c r="P18">
        <v>70131</v>
      </c>
      <c r="Q18">
        <v>0</v>
      </c>
      <c r="R18">
        <v>20</v>
      </c>
      <c r="S18" t="s">
        <v>67</v>
      </c>
      <c r="T18" t="s">
        <v>45</v>
      </c>
      <c r="U18">
        <v>2145</v>
      </c>
      <c r="V18" s="1">
        <v>24214</v>
      </c>
      <c r="W18" t="s">
        <v>68</v>
      </c>
      <c r="X18" t="s">
        <v>59</v>
      </c>
      <c r="Y18" t="s">
        <v>48</v>
      </c>
      <c r="Z18" t="s">
        <v>49</v>
      </c>
      <c r="AA18" t="s">
        <v>50</v>
      </c>
      <c r="AB18" s="1">
        <v>42572</v>
      </c>
      <c r="AD18" t="s">
        <v>51</v>
      </c>
      <c r="AE18" t="s">
        <v>52</v>
      </c>
      <c r="AF18" t="s">
        <v>53</v>
      </c>
      <c r="AG18" t="s">
        <v>106</v>
      </c>
      <c r="AH18">
        <v>18</v>
      </c>
      <c r="AI18" t="s">
        <v>87</v>
      </c>
      <c r="AJ18" t="s">
        <v>56</v>
      </c>
      <c r="AK18">
        <v>4.4000000000000004</v>
      </c>
      <c r="AL18">
        <v>3</v>
      </c>
      <c r="AM18">
        <v>0</v>
      </c>
      <c r="AN18" s="1">
        <v>43479</v>
      </c>
      <c r="AO18">
        <v>0</v>
      </c>
      <c r="AP18">
        <v>16</v>
      </c>
    </row>
    <row r="19" spans="1:42">
      <c r="A19" t="s">
        <v>113</v>
      </c>
      <c r="B19" t="str">
        <f t="shared" si="0"/>
        <v>Courtney</v>
      </c>
      <c r="C19" t="str">
        <f t="shared" si="1"/>
        <v>Beatrice</v>
      </c>
      <c r="D19">
        <f t="shared" ca="1" si="2"/>
        <v>14</v>
      </c>
      <c r="E19" t="str" cm="1">
        <f t="array" ref="E19">_xlfn.IFS(P19&lt;40000, "Low", P19&lt;70000, "MID", P19&lt;100000, "HIGH", P19&gt;=100000, "Executive")</f>
        <v>MID</v>
      </c>
      <c r="F19" t="str" cm="1">
        <f t="array" ref="F19">_xlfn.IFS(AJ19="Exceeds", "Top Performer", AJ19="Fully Meets", "Solid Performer", AJ19="Needs Improvement", "Underperformer", AJ19="PIP", "At Risk")</f>
        <v>Solid Performer</v>
      </c>
      <c r="G19" t="str" cm="1">
        <f t="array" ref="G19">_xlfn.IFS(AE19="Active", "Retained", AE19="Voluntarily Terminated", "Voluntary Exit", AE19="Terminated for Cause", "Involuntary Exit")</f>
        <v>Retained</v>
      </c>
      <c r="H19">
        <v>10055</v>
      </c>
      <c r="I19">
        <v>0</v>
      </c>
      <c r="J19">
        <v>0</v>
      </c>
      <c r="K19">
        <v>0</v>
      </c>
      <c r="L19">
        <v>1</v>
      </c>
      <c r="M19">
        <v>5</v>
      </c>
      <c r="N19">
        <v>3</v>
      </c>
      <c r="O19">
        <v>0</v>
      </c>
      <c r="P19">
        <v>59026</v>
      </c>
      <c r="Q19">
        <v>0</v>
      </c>
      <c r="R19">
        <v>19</v>
      </c>
      <c r="S19" t="s">
        <v>44</v>
      </c>
      <c r="T19" t="s">
        <v>45</v>
      </c>
      <c r="U19">
        <v>1915</v>
      </c>
      <c r="V19" s="1">
        <v>25868</v>
      </c>
      <c r="W19" t="s">
        <v>68</v>
      </c>
      <c r="X19" t="s">
        <v>47</v>
      </c>
      <c r="Y19" t="s">
        <v>114</v>
      </c>
      <c r="Z19" t="s">
        <v>49</v>
      </c>
      <c r="AA19" t="s">
        <v>50</v>
      </c>
      <c r="AB19" s="1">
        <v>40637</v>
      </c>
      <c r="AD19" t="s">
        <v>51</v>
      </c>
      <c r="AE19" t="s">
        <v>52</v>
      </c>
      <c r="AF19" t="s">
        <v>53</v>
      </c>
      <c r="AG19" t="s">
        <v>72</v>
      </c>
      <c r="AH19">
        <v>16</v>
      </c>
      <c r="AI19" t="s">
        <v>77</v>
      </c>
      <c r="AJ19" t="s">
        <v>65</v>
      </c>
      <c r="AK19">
        <v>5</v>
      </c>
      <c r="AL19">
        <v>5</v>
      </c>
      <c r="AM19">
        <v>0</v>
      </c>
      <c r="AN19" s="1">
        <v>43479</v>
      </c>
      <c r="AO19">
        <v>0</v>
      </c>
      <c r="AP19">
        <v>12</v>
      </c>
    </row>
    <row r="20" spans="1:42">
      <c r="A20" t="s">
        <v>115</v>
      </c>
      <c r="B20" t="str">
        <f t="shared" si="0"/>
        <v>Renee</v>
      </c>
      <c r="C20" t="str">
        <f t="shared" si="1"/>
        <v>Becker</v>
      </c>
      <c r="D20">
        <f t="shared" ca="1" si="2"/>
        <v>1</v>
      </c>
      <c r="E20" t="str" cm="1">
        <f t="array" ref="E20">_xlfn.IFS(P20&lt;40000, "Low", P20&lt;70000, "MID", P20&lt;100000, "HIGH", P20&gt;=100000, "Executive")</f>
        <v>Executive</v>
      </c>
      <c r="F20" t="str" cm="1">
        <f t="array" ref="F20">_xlfn.IFS(AJ20="Exceeds", "Top Performer", AJ20="Fully Meets", "Solid Performer", AJ20="Needs Improvement", "Underperformer", AJ20="PIP", "At Risk")</f>
        <v>Solid Performer</v>
      </c>
      <c r="G20" t="str" cm="1">
        <f t="array" ref="G20">_xlfn.IFS(AE20="Active", "Retained", AE20="Voluntarily Terminated", "Voluntary Exit", AE20="Terminated for Cause", "Involuntary Exit")</f>
        <v>Involuntary Exit</v>
      </c>
      <c r="H20">
        <v>10245</v>
      </c>
      <c r="I20">
        <v>0</v>
      </c>
      <c r="J20">
        <v>0</v>
      </c>
      <c r="K20">
        <v>0</v>
      </c>
      <c r="L20">
        <v>4</v>
      </c>
      <c r="M20">
        <v>3</v>
      </c>
      <c r="N20">
        <v>3</v>
      </c>
      <c r="O20">
        <v>0</v>
      </c>
      <c r="P20">
        <v>110000</v>
      </c>
      <c r="Q20">
        <v>1</v>
      </c>
      <c r="R20">
        <v>8</v>
      </c>
      <c r="S20" t="s">
        <v>116</v>
      </c>
      <c r="T20" t="s">
        <v>45</v>
      </c>
      <c r="U20">
        <v>2026</v>
      </c>
      <c r="V20" s="1">
        <v>31506</v>
      </c>
      <c r="W20" t="s">
        <v>68</v>
      </c>
      <c r="X20" t="s">
        <v>47</v>
      </c>
      <c r="Y20" t="s">
        <v>48</v>
      </c>
      <c r="Z20" t="s">
        <v>96</v>
      </c>
      <c r="AA20" t="s">
        <v>50</v>
      </c>
      <c r="AB20" s="1">
        <v>41827</v>
      </c>
      <c r="AC20" s="1">
        <v>42259</v>
      </c>
      <c r="AD20" t="s">
        <v>117</v>
      </c>
      <c r="AE20" t="s">
        <v>111</v>
      </c>
      <c r="AF20" t="s">
        <v>62</v>
      </c>
      <c r="AG20" t="s">
        <v>63</v>
      </c>
      <c r="AH20">
        <v>4</v>
      </c>
      <c r="AI20" t="s">
        <v>77</v>
      </c>
      <c r="AJ20" t="s">
        <v>65</v>
      </c>
      <c r="AK20">
        <v>4.5</v>
      </c>
      <c r="AL20">
        <v>4</v>
      </c>
      <c r="AM20">
        <v>5</v>
      </c>
      <c r="AN20" s="1">
        <v>42019</v>
      </c>
      <c r="AO20">
        <v>0</v>
      </c>
      <c r="AP20">
        <v>8</v>
      </c>
    </row>
    <row r="21" spans="1:42">
      <c r="A21" t="s">
        <v>118</v>
      </c>
      <c r="B21" t="str">
        <f t="shared" si="0"/>
        <v>Scott</v>
      </c>
      <c r="C21" t="str">
        <f t="shared" si="1"/>
        <v>Becker</v>
      </c>
      <c r="D21">
        <f t="shared" ca="1" si="2"/>
        <v>12</v>
      </c>
      <c r="E21" t="str" cm="1">
        <f t="array" ref="E21">_xlfn.IFS(P21&lt;40000, "Low", P21&lt;70000, "MID", P21&lt;100000, "HIGH", P21&gt;=100000, "Executive")</f>
        <v>MID</v>
      </c>
      <c r="F21" t="str" cm="1">
        <f t="array" ref="F21">_xlfn.IFS(AJ21="Exceeds", "Top Performer", AJ21="Fully Meets", "Solid Performer", AJ21="Needs Improvement", "Underperformer", AJ21="PIP", "At Risk")</f>
        <v>Solid Performer</v>
      </c>
      <c r="G21" t="str" cm="1">
        <f t="array" ref="G21">_xlfn.IFS(AE21="Active", "Retained", AE21="Voluntarily Terminated", "Voluntary Exit", AE21="Terminated for Cause", "Involuntary Exit")</f>
        <v>Retained</v>
      </c>
      <c r="H21">
        <v>10277</v>
      </c>
      <c r="I21">
        <v>0</v>
      </c>
      <c r="J21">
        <v>0</v>
      </c>
      <c r="K21">
        <v>1</v>
      </c>
      <c r="L21">
        <v>3</v>
      </c>
      <c r="M21">
        <v>5</v>
      </c>
      <c r="N21">
        <v>3</v>
      </c>
      <c r="O21">
        <v>0</v>
      </c>
      <c r="P21">
        <v>53250</v>
      </c>
      <c r="Q21">
        <v>0</v>
      </c>
      <c r="R21">
        <v>19</v>
      </c>
      <c r="S21" t="s">
        <v>44</v>
      </c>
      <c r="T21" t="s">
        <v>45</v>
      </c>
      <c r="U21">
        <v>2452</v>
      </c>
      <c r="V21" s="1">
        <v>28951</v>
      </c>
      <c r="W21" t="s">
        <v>46</v>
      </c>
      <c r="X21" t="s">
        <v>47</v>
      </c>
      <c r="Y21" t="s">
        <v>48</v>
      </c>
      <c r="Z21" t="s">
        <v>49</v>
      </c>
      <c r="AA21" t="s">
        <v>119</v>
      </c>
      <c r="AB21" s="1">
        <v>41463</v>
      </c>
      <c r="AD21" t="s">
        <v>51</v>
      </c>
      <c r="AE21" t="s">
        <v>52</v>
      </c>
      <c r="AF21" t="s">
        <v>53</v>
      </c>
      <c r="AG21" t="s">
        <v>76</v>
      </c>
      <c r="AI21" t="s">
        <v>55</v>
      </c>
      <c r="AJ21" t="s">
        <v>65</v>
      </c>
      <c r="AK21">
        <v>4.2</v>
      </c>
      <c r="AL21">
        <v>4</v>
      </c>
      <c r="AM21">
        <v>0</v>
      </c>
      <c r="AN21" s="1">
        <v>43476</v>
      </c>
      <c r="AO21">
        <v>0</v>
      </c>
      <c r="AP21">
        <v>13</v>
      </c>
    </row>
    <row r="22" spans="1:42">
      <c r="A22" t="s">
        <v>120</v>
      </c>
      <c r="B22" t="str">
        <f t="shared" si="0"/>
        <v>Sean</v>
      </c>
      <c r="C22" t="str">
        <f t="shared" si="1"/>
        <v>Bernstein</v>
      </c>
      <c r="D22">
        <f t="shared" ca="1" si="2"/>
        <v>14</v>
      </c>
      <c r="E22" t="str" cm="1">
        <f t="array" ref="E22">_xlfn.IFS(P22&lt;40000, "Low", P22&lt;70000, "MID", P22&lt;100000, "HIGH", P22&gt;=100000, "Executive")</f>
        <v>MID</v>
      </c>
      <c r="F22" t="str" cm="1">
        <f t="array" ref="F22">_xlfn.IFS(AJ22="Exceeds", "Top Performer", AJ22="Fully Meets", "Solid Performer", AJ22="Needs Improvement", "Underperformer", AJ22="PIP", "At Risk")</f>
        <v>Solid Performer</v>
      </c>
      <c r="G22" t="str" cm="1">
        <f t="array" ref="G22">_xlfn.IFS(AE22="Active", "Retained", AE22="Voluntarily Terminated", "Voluntary Exit", AE22="Terminated for Cause", "Involuntary Exit")</f>
        <v>Retained</v>
      </c>
      <c r="H22">
        <v>10046</v>
      </c>
      <c r="I22">
        <v>0</v>
      </c>
      <c r="J22">
        <v>0</v>
      </c>
      <c r="K22">
        <v>1</v>
      </c>
      <c r="L22">
        <v>1</v>
      </c>
      <c r="M22">
        <v>5</v>
      </c>
      <c r="N22">
        <v>3</v>
      </c>
      <c r="O22">
        <v>0</v>
      </c>
      <c r="P22">
        <v>51044</v>
      </c>
      <c r="Q22">
        <v>0</v>
      </c>
      <c r="R22">
        <v>19</v>
      </c>
      <c r="S22" t="s">
        <v>44</v>
      </c>
      <c r="T22" t="s">
        <v>45</v>
      </c>
      <c r="U22">
        <v>2072</v>
      </c>
      <c r="V22" s="1">
        <v>25924</v>
      </c>
      <c r="W22" t="s">
        <v>46</v>
      </c>
      <c r="X22" t="s">
        <v>47</v>
      </c>
      <c r="Y22" t="s">
        <v>48</v>
      </c>
      <c r="Z22" t="s">
        <v>96</v>
      </c>
      <c r="AA22" t="s">
        <v>50</v>
      </c>
      <c r="AB22" s="1">
        <v>41001</v>
      </c>
      <c r="AD22" t="s">
        <v>51</v>
      </c>
      <c r="AE22" t="s">
        <v>52</v>
      </c>
      <c r="AF22" t="s">
        <v>53</v>
      </c>
      <c r="AG22" t="s">
        <v>79</v>
      </c>
      <c r="AH22">
        <v>11</v>
      </c>
      <c r="AI22" t="s">
        <v>77</v>
      </c>
      <c r="AJ22" t="s">
        <v>65</v>
      </c>
      <c r="AK22">
        <v>5</v>
      </c>
      <c r="AL22">
        <v>3</v>
      </c>
      <c r="AM22">
        <v>0</v>
      </c>
      <c r="AN22" s="1">
        <v>43479</v>
      </c>
      <c r="AO22">
        <v>0</v>
      </c>
      <c r="AP22">
        <v>13</v>
      </c>
    </row>
    <row r="23" spans="1:42">
      <c r="A23" t="s">
        <v>121</v>
      </c>
      <c r="B23" t="str">
        <f t="shared" si="0"/>
        <v>Lowan M</v>
      </c>
      <c r="C23" t="str">
        <f t="shared" si="1"/>
        <v>Biden</v>
      </c>
      <c r="D23">
        <f t="shared" ca="1" si="2"/>
        <v>12</v>
      </c>
      <c r="E23" t="str" cm="1">
        <f t="array" ref="E23">_xlfn.IFS(P23&lt;40000, "Low", P23&lt;70000, "MID", P23&lt;100000, "HIGH", P23&gt;=100000, "Executive")</f>
        <v>MID</v>
      </c>
      <c r="F23" t="str" cm="1">
        <f t="array" ref="F23">_xlfn.IFS(AJ23="Exceeds", "Top Performer", AJ23="Fully Meets", "Solid Performer", AJ23="Needs Improvement", "Underperformer", AJ23="PIP", "At Risk")</f>
        <v>Solid Performer</v>
      </c>
      <c r="G23" t="str" cm="1">
        <f t="array" ref="G23">_xlfn.IFS(AE23="Active", "Retained", AE23="Voluntarily Terminated", "Voluntary Exit", AE23="Terminated for Cause", "Involuntary Exit")</f>
        <v>Retained</v>
      </c>
      <c r="H23">
        <v>10226</v>
      </c>
      <c r="I23">
        <v>0</v>
      </c>
      <c r="J23">
        <v>2</v>
      </c>
      <c r="K23">
        <v>0</v>
      </c>
      <c r="L23">
        <v>1</v>
      </c>
      <c r="M23">
        <v>5</v>
      </c>
      <c r="N23">
        <v>3</v>
      </c>
      <c r="O23">
        <v>0</v>
      </c>
      <c r="P23">
        <v>64919</v>
      </c>
      <c r="Q23">
        <v>0</v>
      </c>
      <c r="R23">
        <v>19</v>
      </c>
      <c r="S23" t="s">
        <v>44</v>
      </c>
      <c r="T23" t="s">
        <v>45</v>
      </c>
      <c r="U23">
        <v>2027</v>
      </c>
      <c r="V23" s="1">
        <v>21546</v>
      </c>
      <c r="W23" t="s">
        <v>68</v>
      </c>
      <c r="X23" t="s">
        <v>74</v>
      </c>
      <c r="Y23" t="s">
        <v>48</v>
      </c>
      <c r="Z23" t="s">
        <v>49</v>
      </c>
      <c r="AA23" t="s">
        <v>119</v>
      </c>
      <c r="AB23" s="1">
        <v>41505</v>
      </c>
      <c r="AD23" t="s">
        <v>51</v>
      </c>
      <c r="AE23" t="s">
        <v>52</v>
      </c>
      <c r="AF23" t="s">
        <v>53</v>
      </c>
      <c r="AG23" t="s">
        <v>86</v>
      </c>
      <c r="AH23">
        <v>19</v>
      </c>
      <c r="AI23" t="s">
        <v>64</v>
      </c>
      <c r="AJ23" t="s">
        <v>65</v>
      </c>
      <c r="AK23">
        <v>4.2</v>
      </c>
      <c r="AL23">
        <v>3</v>
      </c>
      <c r="AM23">
        <v>0</v>
      </c>
      <c r="AN23" s="1">
        <v>43475</v>
      </c>
      <c r="AO23">
        <v>0</v>
      </c>
      <c r="AP23">
        <v>2</v>
      </c>
    </row>
    <row r="24" spans="1:42">
      <c r="A24" t="s">
        <v>122</v>
      </c>
      <c r="B24" t="str">
        <f t="shared" si="0"/>
        <v>Helen</v>
      </c>
      <c r="C24" t="str">
        <f t="shared" si="1"/>
        <v>Billis</v>
      </c>
      <c r="D24">
        <f t="shared" ca="1" si="2"/>
        <v>11</v>
      </c>
      <c r="E24" t="str" cm="1">
        <f t="array" ref="E24">_xlfn.IFS(P24&lt;40000, "Low", P24&lt;70000, "MID", P24&lt;100000, "HIGH", P24&gt;=100000, "Executive")</f>
        <v>MID</v>
      </c>
      <c r="F24" t="str" cm="1">
        <f t="array" ref="F24">_xlfn.IFS(AJ24="Exceeds", "Top Performer", AJ24="Fully Meets", "Solid Performer", AJ24="Needs Improvement", "Underperformer", AJ24="PIP", "At Risk")</f>
        <v>Top Performer</v>
      </c>
      <c r="G24" t="str" cm="1">
        <f t="array" ref="G24">_xlfn.IFS(AE24="Active", "Retained", AE24="Voluntarily Terminated", "Voluntary Exit", AE24="Terminated for Cause", "Involuntary Exit")</f>
        <v>Retained</v>
      </c>
      <c r="H24">
        <v>10003</v>
      </c>
      <c r="I24">
        <v>1</v>
      </c>
      <c r="J24">
        <v>1</v>
      </c>
      <c r="K24">
        <v>0</v>
      </c>
      <c r="L24">
        <v>1</v>
      </c>
      <c r="M24">
        <v>5</v>
      </c>
      <c r="N24">
        <v>4</v>
      </c>
      <c r="O24">
        <v>0</v>
      </c>
      <c r="P24">
        <v>62910</v>
      </c>
      <c r="Q24">
        <v>0</v>
      </c>
      <c r="R24">
        <v>19</v>
      </c>
      <c r="S24" t="s">
        <v>44</v>
      </c>
      <c r="T24" t="s">
        <v>45</v>
      </c>
      <c r="U24">
        <v>2031</v>
      </c>
      <c r="V24" s="1">
        <v>32752</v>
      </c>
      <c r="W24" t="s">
        <v>68</v>
      </c>
      <c r="X24" t="s">
        <v>59</v>
      </c>
      <c r="Y24" t="s">
        <v>48</v>
      </c>
      <c r="Z24" t="s">
        <v>49</v>
      </c>
      <c r="AA24" t="s">
        <v>50</v>
      </c>
      <c r="AB24" s="1">
        <v>41827</v>
      </c>
      <c r="AD24" t="s">
        <v>51</v>
      </c>
      <c r="AE24" t="s">
        <v>52</v>
      </c>
      <c r="AF24" t="s">
        <v>53</v>
      </c>
      <c r="AG24" t="s">
        <v>90</v>
      </c>
      <c r="AH24">
        <v>12</v>
      </c>
      <c r="AI24" t="s">
        <v>64</v>
      </c>
      <c r="AJ24" t="s">
        <v>56</v>
      </c>
      <c r="AK24">
        <v>5</v>
      </c>
      <c r="AL24">
        <v>3</v>
      </c>
      <c r="AM24">
        <v>0</v>
      </c>
      <c r="AN24" s="1">
        <v>43523</v>
      </c>
      <c r="AO24">
        <v>0</v>
      </c>
      <c r="AP24">
        <v>19</v>
      </c>
    </row>
    <row r="25" spans="1:42">
      <c r="A25" t="s">
        <v>123</v>
      </c>
      <c r="B25" t="str">
        <f t="shared" si="0"/>
        <v>Dianna</v>
      </c>
      <c r="C25" t="str">
        <f t="shared" si="1"/>
        <v>Blount</v>
      </c>
      <c r="D25">
        <f t="shared" ca="1" si="2"/>
        <v>14</v>
      </c>
      <c r="E25" t="str" cm="1">
        <f t="array" ref="E25">_xlfn.IFS(P25&lt;40000, "Low", P25&lt;70000, "MID", P25&lt;100000, "HIGH", P25&gt;=100000, "Executive")</f>
        <v>MID</v>
      </c>
      <c r="F25" t="str" cm="1">
        <f t="array" ref="F25">_xlfn.IFS(AJ25="Exceeds", "Top Performer", AJ25="Fully Meets", "Solid Performer", AJ25="Needs Improvement", "Underperformer", AJ25="PIP", "At Risk")</f>
        <v>Underperformer</v>
      </c>
      <c r="G25" t="str" cm="1">
        <f t="array" ref="G25">_xlfn.IFS(AE25="Active", "Retained", AE25="Voluntarily Terminated", "Voluntary Exit", AE25="Terminated for Cause", "Involuntary Exit")</f>
        <v>Retained</v>
      </c>
      <c r="H25">
        <v>10294</v>
      </c>
      <c r="I25">
        <v>0</v>
      </c>
      <c r="J25">
        <v>0</v>
      </c>
      <c r="K25">
        <v>0</v>
      </c>
      <c r="L25">
        <v>1</v>
      </c>
      <c r="M25">
        <v>5</v>
      </c>
      <c r="N25">
        <v>2</v>
      </c>
      <c r="O25">
        <v>0</v>
      </c>
      <c r="P25">
        <v>66441</v>
      </c>
      <c r="Q25">
        <v>0</v>
      </c>
      <c r="R25">
        <v>20</v>
      </c>
      <c r="S25" t="s">
        <v>67</v>
      </c>
      <c r="T25" t="s">
        <v>45</v>
      </c>
      <c r="U25">
        <v>2171</v>
      </c>
      <c r="V25" s="1">
        <v>33137</v>
      </c>
      <c r="W25" t="s">
        <v>68</v>
      </c>
      <c r="X25" t="s">
        <v>47</v>
      </c>
      <c r="Y25" t="s">
        <v>48</v>
      </c>
      <c r="Z25" t="s">
        <v>49</v>
      </c>
      <c r="AA25" t="s">
        <v>50</v>
      </c>
      <c r="AB25" s="1">
        <v>40637</v>
      </c>
      <c r="AD25" t="s">
        <v>51</v>
      </c>
      <c r="AE25" t="s">
        <v>52</v>
      </c>
      <c r="AF25" t="s">
        <v>53</v>
      </c>
      <c r="AG25" t="s">
        <v>54</v>
      </c>
      <c r="AH25">
        <v>22</v>
      </c>
      <c r="AI25" t="s">
        <v>124</v>
      </c>
      <c r="AJ25" t="s">
        <v>125</v>
      </c>
      <c r="AK25">
        <v>2</v>
      </c>
      <c r="AL25">
        <v>3</v>
      </c>
      <c r="AM25">
        <v>0</v>
      </c>
      <c r="AN25" s="1">
        <v>43523</v>
      </c>
      <c r="AO25">
        <v>2</v>
      </c>
      <c r="AP25">
        <v>3</v>
      </c>
    </row>
    <row r="26" spans="1:42">
      <c r="A26" t="s">
        <v>126</v>
      </c>
      <c r="B26" t="str">
        <f t="shared" si="0"/>
        <v>Betsy</v>
      </c>
      <c r="C26" t="str">
        <f t="shared" si="1"/>
        <v>Bondwell</v>
      </c>
      <c r="D26">
        <f t="shared" ca="1" si="2"/>
        <v>3</v>
      </c>
      <c r="E26" t="str" cm="1">
        <f t="array" ref="E26">_xlfn.IFS(P26&lt;40000, "Low", P26&lt;70000, "MID", P26&lt;100000, "HIGH", P26&gt;=100000, "Executive")</f>
        <v>MID</v>
      </c>
      <c r="F26" t="str" cm="1">
        <f t="array" ref="F26">_xlfn.IFS(AJ26="Exceeds", "Top Performer", AJ26="Fully Meets", "Solid Performer", AJ26="Needs Improvement", "Underperformer", AJ26="PIP", "At Risk")</f>
        <v>Solid Performer</v>
      </c>
      <c r="G26" t="str" cm="1">
        <f t="array" ref="G26">_xlfn.IFS(AE26="Active", "Retained", AE26="Voluntarily Terminated", "Voluntary Exit", AE26="Terminated for Cause", "Involuntary Exit")</f>
        <v>Voluntary Exit</v>
      </c>
      <c r="H26">
        <v>10267</v>
      </c>
      <c r="I26">
        <v>0</v>
      </c>
      <c r="J26">
        <v>0</v>
      </c>
      <c r="K26">
        <v>0</v>
      </c>
      <c r="L26">
        <v>5</v>
      </c>
      <c r="M26">
        <v>5</v>
      </c>
      <c r="N26">
        <v>3</v>
      </c>
      <c r="O26">
        <v>0</v>
      </c>
      <c r="P26">
        <v>57815</v>
      </c>
      <c r="Q26">
        <v>1</v>
      </c>
      <c r="R26">
        <v>20</v>
      </c>
      <c r="S26" t="s">
        <v>67</v>
      </c>
      <c r="T26" t="s">
        <v>45</v>
      </c>
      <c r="U26">
        <v>2210</v>
      </c>
      <c r="V26" s="1">
        <v>24488</v>
      </c>
      <c r="W26" t="s">
        <v>68</v>
      </c>
      <c r="X26" t="s">
        <v>47</v>
      </c>
      <c r="Y26" t="s">
        <v>48</v>
      </c>
      <c r="Z26" t="s">
        <v>49</v>
      </c>
      <c r="AA26" t="s">
        <v>50</v>
      </c>
      <c r="AB26" s="1">
        <v>40553</v>
      </c>
      <c r="AC26" s="1">
        <v>41733</v>
      </c>
      <c r="AD26" t="s">
        <v>60</v>
      </c>
      <c r="AE26" t="s">
        <v>61</v>
      </c>
      <c r="AF26" t="s">
        <v>53</v>
      </c>
      <c r="AG26" t="s">
        <v>72</v>
      </c>
      <c r="AH26">
        <v>16</v>
      </c>
      <c r="AI26" t="s">
        <v>77</v>
      </c>
      <c r="AJ26" t="s">
        <v>65</v>
      </c>
      <c r="AK26">
        <v>4.8</v>
      </c>
      <c r="AL26">
        <v>5</v>
      </c>
      <c r="AM26">
        <v>0</v>
      </c>
      <c r="AN26" s="1">
        <v>41702</v>
      </c>
      <c r="AO26">
        <v>0</v>
      </c>
      <c r="AP26">
        <v>5</v>
      </c>
    </row>
    <row r="27" spans="1:42">
      <c r="A27" t="s">
        <v>127</v>
      </c>
      <c r="B27" t="str">
        <f t="shared" si="0"/>
        <v>Frank</v>
      </c>
      <c r="C27" t="str">
        <f t="shared" si="1"/>
        <v>Booth</v>
      </c>
      <c r="D27">
        <f t="shared" ca="1" si="2"/>
        <v>2</v>
      </c>
      <c r="E27" t="str" cm="1">
        <f t="array" ref="E27">_xlfn.IFS(P27&lt;40000, "Low", P27&lt;70000, "MID", P27&lt;100000, "HIGH", P27&gt;=100000, "Executive")</f>
        <v>Executive</v>
      </c>
      <c r="F27" t="str" cm="1">
        <f t="array" ref="F27">_xlfn.IFS(AJ27="Exceeds", "Top Performer", AJ27="Fully Meets", "Solid Performer", AJ27="Needs Improvement", "Underperformer", AJ27="PIP", "At Risk")</f>
        <v>Solid Performer</v>
      </c>
      <c r="G27" t="str" cm="1">
        <f t="array" ref="G27">_xlfn.IFS(AE27="Active", "Retained", AE27="Voluntarily Terminated", "Voluntary Exit", AE27="Terminated for Cause", "Involuntary Exit")</f>
        <v>Involuntary Exit</v>
      </c>
      <c r="H27">
        <v>10199</v>
      </c>
      <c r="I27">
        <v>0</v>
      </c>
      <c r="J27">
        <v>0</v>
      </c>
      <c r="K27">
        <v>1</v>
      </c>
      <c r="L27">
        <v>4</v>
      </c>
      <c r="M27">
        <v>3</v>
      </c>
      <c r="N27">
        <v>3</v>
      </c>
      <c r="O27">
        <v>0</v>
      </c>
      <c r="P27">
        <v>103613</v>
      </c>
      <c r="Q27">
        <v>1</v>
      </c>
      <c r="R27">
        <v>30</v>
      </c>
      <c r="S27" t="s">
        <v>128</v>
      </c>
      <c r="T27" t="s">
        <v>129</v>
      </c>
      <c r="U27">
        <v>6033</v>
      </c>
      <c r="V27" s="1">
        <v>23588</v>
      </c>
      <c r="W27" t="s">
        <v>46</v>
      </c>
      <c r="X27" t="s">
        <v>47</v>
      </c>
      <c r="Y27" t="s">
        <v>48</v>
      </c>
      <c r="Z27" t="s">
        <v>49</v>
      </c>
      <c r="AA27" t="s">
        <v>89</v>
      </c>
      <c r="AB27" s="1">
        <v>41687</v>
      </c>
      <c r="AC27" s="1">
        <v>42419</v>
      </c>
      <c r="AD27" t="s">
        <v>130</v>
      </c>
      <c r="AE27" t="s">
        <v>111</v>
      </c>
      <c r="AF27" t="s">
        <v>62</v>
      </c>
      <c r="AG27" t="s">
        <v>63</v>
      </c>
      <c r="AH27">
        <v>4</v>
      </c>
      <c r="AI27" t="s">
        <v>55</v>
      </c>
      <c r="AJ27" t="s">
        <v>65</v>
      </c>
      <c r="AK27">
        <v>3.5</v>
      </c>
      <c r="AL27">
        <v>5</v>
      </c>
      <c r="AM27">
        <v>7</v>
      </c>
      <c r="AN27" s="1">
        <v>42379</v>
      </c>
      <c r="AO27">
        <v>0</v>
      </c>
      <c r="AP27">
        <v>2</v>
      </c>
    </row>
    <row r="28" spans="1:42">
      <c r="A28" t="s">
        <v>131</v>
      </c>
      <c r="B28" t="str">
        <f t="shared" si="0"/>
        <v>Bonalyn</v>
      </c>
      <c r="C28" t="str">
        <f t="shared" si="1"/>
        <v>Boutwell</v>
      </c>
      <c r="D28">
        <f t="shared" ca="1" si="2"/>
        <v>11</v>
      </c>
      <c r="E28" t="str" cm="1">
        <f t="array" ref="E28">_xlfn.IFS(P28&lt;40000, "Low", P28&lt;70000, "MID", P28&lt;100000, "HIGH", P28&gt;=100000, "Executive")</f>
        <v>Executive</v>
      </c>
      <c r="F28" t="str" cm="1">
        <f t="array" ref="F28">_xlfn.IFS(AJ28="Exceeds", "Top Performer", AJ28="Fully Meets", "Solid Performer", AJ28="Needs Improvement", "Underperformer", AJ28="PIP", "At Risk")</f>
        <v>Solid Performer</v>
      </c>
      <c r="G28" t="str" cm="1">
        <f t="array" ref="G28">_xlfn.IFS(AE28="Active", "Retained", AE28="Voluntarily Terminated", "Voluntary Exit", AE28="Terminated for Cause", "Involuntary Exit")</f>
        <v>Retained</v>
      </c>
      <c r="H28">
        <v>10081</v>
      </c>
      <c r="I28">
        <v>1</v>
      </c>
      <c r="J28">
        <v>1</v>
      </c>
      <c r="K28">
        <v>0</v>
      </c>
      <c r="L28">
        <v>1</v>
      </c>
      <c r="M28">
        <v>1</v>
      </c>
      <c r="N28">
        <v>3</v>
      </c>
      <c r="O28">
        <v>1</v>
      </c>
      <c r="P28">
        <v>106367</v>
      </c>
      <c r="Q28">
        <v>0</v>
      </c>
      <c r="R28">
        <v>26</v>
      </c>
      <c r="S28" t="s">
        <v>132</v>
      </c>
      <c r="T28" t="s">
        <v>45</v>
      </c>
      <c r="U28">
        <v>2468</v>
      </c>
      <c r="V28" s="1">
        <v>31871</v>
      </c>
      <c r="W28" t="s">
        <v>68</v>
      </c>
      <c r="X28" t="s">
        <v>59</v>
      </c>
      <c r="Y28" t="s">
        <v>48</v>
      </c>
      <c r="Z28" t="s">
        <v>49</v>
      </c>
      <c r="AA28" t="s">
        <v>89</v>
      </c>
      <c r="AB28" s="1">
        <v>42051</v>
      </c>
      <c r="AD28" t="s">
        <v>51</v>
      </c>
      <c r="AE28" t="s">
        <v>52</v>
      </c>
      <c r="AF28" t="s">
        <v>133</v>
      </c>
      <c r="AG28" t="s">
        <v>134</v>
      </c>
      <c r="AH28">
        <v>3</v>
      </c>
      <c r="AI28" t="s">
        <v>91</v>
      </c>
      <c r="AJ28" t="s">
        <v>65</v>
      </c>
      <c r="AK28">
        <v>5</v>
      </c>
      <c r="AL28">
        <v>4</v>
      </c>
      <c r="AM28">
        <v>3</v>
      </c>
      <c r="AN28" s="1">
        <v>43514</v>
      </c>
      <c r="AO28">
        <v>0</v>
      </c>
      <c r="AP28">
        <v>4</v>
      </c>
    </row>
    <row r="29" spans="1:42">
      <c r="A29" t="s">
        <v>135</v>
      </c>
      <c r="B29" t="str">
        <f t="shared" si="0"/>
        <v>Charles</v>
      </c>
      <c r="C29" t="str">
        <f t="shared" si="1"/>
        <v>Bozzi</v>
      </c>
      <c r="D29">
        <f t="shared" ca="1" si="2"/>
        <v>0</v>
      </c>
      <c r="E29" t="str" cm="1">
        <f t="array" ref="E29">_xlfn.IFS(P29&lt;40000, "Low", P29&lt;70000, "MID", P29&lt;100000, "HIGH", P29&gt;=100000, "Executive")</f>
        <v>HIGH</v>
      </c>
      <c r="F29" t="str" cm="1">
        <f t="array" ref="F29">_xlfn.IFS(AJ29="Exceeds", "Top Performer", AJ29="Fully Meets", "Solid Performer", AJ29="Needs Improvement", "Underperformer", AJ29="PIP", "At Risk")</f>
        <v>Solid Performer</v>
      </c>
      <c r="G29" t="str" cm="1">
        <f t="array" ref="G29">_xlfn.IFS(AE29="Active", "Retained", AE29="Voluntarily Terminated", "Voluntary Exit", AE29="Terminated for Cause", "Involuntary Exit")</f>
        <v>Voluntary Exit</v>
      </c>
      <c r="H29">
        <v>10175</v>
      </c>
      <c r="I29">
        <v>0</v>
      </c>
      <c r="J29">
        <v>0</v>
      </c>
      <c r="K29">
        <v>1</v>
      </c>
      <c r="L29">
        <v>5</v>
      </c>
      <c r="M29">
        <v>5</v>
      </c>
      <c r="N29">
        <v>3</v>
      </c>
      <c r="O29">
        <v>0</v>
      </c>
      <c r="P29">
        <v>74312</v>
      </c>
      <c r="Q29">
        <v>1</v>
      </c>
      <c r="R29">
        <v>18</v>
      </c>
      <c r="S29" t="s">
        <v>136</v>
      </c>
      <c r="T29" t="s">
        <v>45</v>
      </c>
      <c r="U29">
        <v>1901</v>
      </c>
      <c r="V29" s="1">
        <v>25637</v>
      </c>
      <c r="W29" t="s">
        <v>46</v>
      </c>
      <c r="X29" t="s">
        <v>47</v>
      </c>
      <c r="Y29" t="s">
        <v>48</v>
      </c>
      <c r="Z29" t="s">
        <v>49</v>
      </c>
      <c r="AA29" t="s">
        <v>119</v>
      </c>
      <c r="AB29" s="1">
        <v>41547</v>
      </c>
      <c r="AC29" s="1">
        <v>41858</v>
      </c>
      <c r="AD29" t="s">
        <v>137</v>
      </c>
      <c r="AE29" t="s">
        <v>61</v>
      </c>
      <c r="AF29" t="s">
        <v>53</v>
      </c>
      <c r="AG29" t="s">
        <v>138</v>
      </c>
      <c r="AH29">
        <v>2</v>
      </c>
      <c r="AI29" t="s">
        <v>64</v>
      </c>
      <c r="AJ29" t="s">
        <v>65</v>
      </c>
      <c r="AK29">
        <v>3.39</v>
      </c>
      <c r="AL29">
        <v>3</v>
      </c>
      <c r="AM29">
        <v>0</v>
      </c>
      <c r="AN29" s="1">
        <v>41690</v>
      </c>
      <c r="AO29">
        <v>0</v>
      </c>
      <c r="AP29">
        <v>14</v>
      </c>
    </row>
    <row r="30" spans="1:42">
      <c r="A30" t="s">
        <v>139</v>
      </c>
      <c r="B30" t="str">
        <f t="shared" si="0"/>
        <v>Donna</v>
      </c>
      <c r="C30" t="str">
        <f t="shared" si="1"/>
        <v>Brill</v>
      </c>
      <c r="D30">
        <f t="shared" ca="1" si="2"/>
        <v>1</v>
      </c>
      <c r="E30" t="str" cm="1">
        <f t="array" ref="E30">_xlfn.IFS(P30&lt;40000, "Low", P30&lt;70000, "MID", P30&lt;100000, "HIGH", P30&gt;=100000, "Executive")</f>
        <v>MID</v>
      </c>
      <c r="F30" t="str" cm="1">
        <f t="array" ref="F30">_xlfn.IFS(AJ30="Exceeds", "Top Performer", AJ30="Fully Meets", "Solid Performer", AJ30="Needs Improvement", "Underperformer", AJ30="PIP", "At Risk")</f>
        <v>Solid Performer</v>
      </c>
      <c r="G30" t="str" cm="1">
        <f t="array" ref="G30">_xlfn.IFS(AE30="Active", "Retained", AE30="Voluntarily Terminated", "Voluntary Exit", AE30="Terminated for Cause", "Involuntary Exit")</f>
        <v>Voluntary Exit</v>
      </c>
      <c r="H30">
        <v>10177</v>
      </c>
      <c r="I30">
        <v>1</v>
      </c>
      <c r="J30">
        <v>1</v>
      </c>
      <c r="K30">
        <v>0</v>
      </c>
      <c r="L30">
        <v>5</v>
      </c>
      <c r="M30">
        <v>5</v>
      </c>
      <c r="N30">
        <v>3</v>
      </c>
      <c r="O30">
        <v>0</v>
      </c>
      <c r="P30">
        <v>53492</v>
      </c>
      <c r="Q30">
        <v>1</v>
      </c>
      <c r="R30">
        <v>19</v>
      </c>
      <c r="S30" t="s">
        <v>44</v>
      </c>
      <c r="T30" t="s">
        <v>45</v>
      </c>
      <c r="U30">
        <v>1701</v>
      </c>
      <c r="V30" s="1">
        <v>33109</v>
      </c>
      <c r="W30" t="s">
        <v>68</v>
      </c>
      <c r="X30" t="s">
        <v>59</v>
      </c>
      <c r="Y30" t="s">
        <v>48</v>
      </c>
      <c r="Z30" t="s">
        <v>49</v>
      </c>
      <c r="AA30" t="s">
        <v>50</v>
      </c>
      <c r="AB30" s="1">
        <v>41001</v>
      </c>
      <c r="AC30" s="1">
        <v>41440</v>
      </c>
      <c r="AD30" t="s">
        <v>97</v>
      </c>
      <c r="AE30" t="s">
        <v>61</v>
      </c>
      <c r="AF30" t="s">
        <v>53</v>
      </c>
      <c r="AG30" t="s">
        <v>98</v>
      </c>
      <c r="AH30">
        <v>14</v>
      </c>
      <c r="AI30" t="s">
        <v>77</v>
      </c>
      <c r="AJ30" t="s">
        <v>65</v>
      </c>
      <c r="AK30">
        <v>3.35</v>
      </c>
      <c r="AL30">
        <v>4</v>
      </c>
      <c r="AM30">
        <v>0</v>
      </c>
      <c r="AN30" s="1">
        <v>41337</v>
      </c>
      <c r="AO30">
        <v>0</v>
      </c>
      <c r="AP30">
        <v>6</v>
      </c>
    </row>
    <row r="31" spans="1:42">
      <c r="A31" t="s">
        <v>140</v>
      </c>
      <c r="B31" t="str">
        <f t="shared" si="0"/>
        <v>Mia</v>
      </c>
      <c r="C31" t="str">
        <f t="shared" si="1"/>
        <v>Brown</v>
      </c>
      <c r="D31">
        <f t="shared" ca="1" si="2"/>
        <v>17</v>
      </c>
      <c r="E31" t="str" cm="1">
        <f t="array" ref="E31">_xlfn.IFS(P31&lt;40000, "Low", P31&lt;70000, "MID", P31&lt;100000, "HIGH", P31&gt;=100000, "Executive")</f>
        <v>MID</v>
      </c>
      <c r="F31" t="str" cm="1">
        <f t="array" ref="F31">_xlfn.IFS(AJ31="Exceeds", "Top Performer", AJ31="Fully Meets", "Solid Performer", AJ31="Needs Improvement", "Underperformer", AJ31="PIP", "At Risk")</f>
        <v>Solid Performer</v>
      </c>
      <c r="G31" t="str" cm="1">
        <f t="array" ref="G31">_xlfn.IFS(AE31="Active", "Retained", AE31="Voluntarily Terminated", "Voluntary Exit", AE31="Terminated for Cause", "Involuntary Exit")</f>
        <v>Retained</v>
      </c>
      <c r="H31">
        <v>10238</v>
      </c>
      <c r="I31">
        <v>1</v>
      </c>
      <c r="J31">
        <v>1</v>
      </c>
      <c r="K31">
        <v>0</v>
      </c>
      <c r="L31">
        <v>1</v>
      </c>
      <c r="M31">
        <v>1</v>
      </c>
      <c r="N31">
        <v>3</v>
      </c>
      <c r="O31">
        <v>1</v>
      </c>
      <c r="P31">
        <v>63000</v>
      </c>
      <c r="Q31">
        <v>0</v>
      </c>
      <c r="R31">
        <v>1</v>
      </c>
      <c r="S31" t="s">
        <v>141</v>
      </c>
      <c r="T31" t="s">
        <v>45</v>
      </c>
      <c r="U31">
        <v>1450</v>
      </c>
      <c r="V31" s="1">
        <v>32105</v>
      </c>
      <c r="W31" t="s">
        <v>68</v>
      </c>
      <c r="X31" t="s">
        <v>59</v>
      </c>
      <c r="Y31" t="s">
        <v>48</v>
      </c>
      <c r="Z31" t="s">
        <v>49</v>
      </c>
      <c r="AA31" t="s">
        <v>89</v>
      </c>
      <c r="AB31" s="1">
        <v>39748</v>
      </c>
      <c r="AD31" t="s">
        <v>51</v>
      </c>
      <c r="AE31" t="s">
        <v>52</v>
      </c>
      <c r="AF31" t="s">
        <v>133</v>
      </c>
      <c r="AG31" t="s">
        <v>134</v>
      </c>
      <c r="AH31">
        <v>1</v>
      </c>
      <c r="AI31" t="s">
        <v>91</v>
      </c>
      <c r="AJ31" t="s">
        <v>65</v>
      </c>
      <c r="AK31">
        <v>4.5</v>
      </c>
      <c r="AL31">
        <v>2</v>
      </c>
      <c r="AM31">
        <v>6</v>
      </c>
      <c r="AN31" s="1">
        <v>43480</v>
      </c>
      <c r="AO31">
        <v>0</v>
      </c>
      <c r="AP31">
        <v>14</v>
      </c>
    </row>
    <row r="32" spans="1:42">
      <c r="A32" t="s">
        <v>142</v>
      </c>
      <c r="B32" t="str">
        <f t="shared" si="0"/>
        <v>Joseph</v>
      </c>
      <c r="C32" t="str">
        <f t="shared" si="1"/>
        <v>Buccheri</v>
      </c>
      <c r="D32">
        <f t="shared" ca="1" si="2"/>
        <v>11</v>
      </c>
      <c r="E32" t="str" cm="1">
        <f t="array" ref="E32">_xlfn.IFS(P32&lt;40000, "Low", P32&lt;70000, "MID", P32&lt;100000, "HIGH", P32&gt;=100000, "Executive")</f>
        <v>MID</v>
      </c>
      <c r="F32" t="str" cm="1">
        <f t="array" ref="F32">_xlfn.IFS(AJ32="Exceeds", "Top Performer", AJ32="Fully Meets", "Solid Performer", AJ32="Needs Improvement", "Underperformer", AJ32="PIP", "At Risk")</f>
        <v>Solid Performer</v>
      </c>
      <c r="G32" t="str" cm="1">
        <f t="array" ref="G32">_xlfn.IFS(AE32="Active", "Retained", AE32="Voluntarily Terminated", "Voluntary Exit", AE32="Terminated for Cause", "Involuntary Exit")</f>
        <v>Retained</v>
      </c>
      <c r="H32">
        <v>10184</v>
      </c>
      <c r="I32">
        <v>0</v>
      </c>
      <c r="J32">
        <v>0</v>
      </c>
      <c r="K32">
        <v>1</v>
      </c>
      <c r="L32">
        <v>1</v>
      </c>
      <c r="M32">
        <v>5</v>
      </c>
      <c r="N32">
        <v>3</v>
      </c>
      <c r="O32">
        <v>0</v>
      </c>
      <c r="P32">
        <v>65288</v>
      </c>
      <c r="Q32">
        <v>0</v>
      </c>
      <c r="R32">
        <v>20</v>
      </c>
      <c r="S32" t="s">
        <v>67</v>
      </c>
      <c r="T32" t="s">
        <v>45</v>
      </c>
      <c r="U32">
        <v>1013</v>
      </c>
      <c r="V32" s="1">
        <v>30525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  <c r="AB32" s="1">
        <v>41911</v>
      </c>
      <c r="AD32" t="s">
        <v>51</v>
      </c>
      <c r="AE32" t="s">
        <v>52</v>
      </c>
      <c r="AF32" t="s">
        <v>53</v>
      </c>
      <c r="AG32" t="s">
        <v>76</v>
      </c>
      <c r="AI32" t="s">
        <v>77</v>
      </c>
      <c r="AJ32" t="s">
        <v>65</v>
      </c>
      <c r="AK32">
        <v>3.19</v>
      </c>
      <c r="AL32">
        <v>3</v>
      </c>
      <c r="AM32">
        <v>0</v>
      </c>
      <c r="AN32" s="1">
        <v>43497</v>
      </c>
      <c r="AO32">
        <v>0</v>
      </c>
      <c r="AP32">
        <v>9</v>
      </c>
    </row>
    <row r="33" spans="1:42">
      <c r="A33" t="s">
        <v>143</v>
      </c>
      <c r="B33" t="str">
        <f t="shared" si="0"/>
        <v>Josephine</v>
      </c>
      <c r="C33" t="str">
        <f t="shared" si="1"/>
        <v>Bugali</v>
      </c>
      <c r="D33">
        <f t="shared" ca="1" si="2"/>
        <v>12</v>
      </c>
      <c r="E33" t="str" cm="1">
        <f t="array" ref="E33">_xlfn.IFS(P33&lt;40000, "Low", P33&lt;70000, "MID", P33&lt;100000, "HIGH", P33&gt;=100000, "Executive")</f>
        <v>MID</v>
      </c>
      <c r="F33" t="str" cm="1">
        <f t="array" ref="F33">_xlfn.IFS(AJ33="Exceeds", "Top Performer", AJ33="Fully Meets", "Solid Performer", AJ33="Needs Improvement", "Underperformer", AJ33="PIP", "At Risk")</f>
        <v>Solid Performer</v>
      </c>
      <c r="G33" t="str" cm="1">
        <f t="array" ref="G33">_xlfn.IFS(AE33="Active", "Retained", AE33="Voluntarily Terminated", "Voluntary Exit", AE33="Terminated for Cause", "Involuntary Exit")</f>
        <v>Retained</v>
      </c>
      <c r="H33">
        <v>10203</v>
      </c>
      <c r="I33">
        <v>0</v>
      </c>
      <c r="J33">
        <v>3</v>
      </c>
      <c r="K33">
        <v>0</v>
      </c>
      <c r="L33">
        <v>3</v>
      </c>
      <c r="M33">
        <v>5</v>
      </c>
      <c r="N33">
        <v>3</v>
      </c>
      <c r="O33">
        <v>1</v>
      </c>
      <c r="P33">
        <v>64375</v>
      </c>
      <c r="Q33">
        <v>0</v>
      </c>
      <c r="R33">
        <v>19</v>
      </c>
      <c r="S33" t="s">
        <v>44</v>
      </c>
      <c r="T33" t="s">
        <v>45</v>
      </c>
      <c r="U33">
        <v>2043</v>
      </c>
      <c r="V33" s="1">
        <v>25506</v>
      </c>
      <c r="W33" t="s">
        <v>68</v>
      </c>
      <c r="X33" t="s">
        <v>144</v>
      </c>
      <c r="Y33" t="s">
        <v>48</v>
      </c>
      <c r="Z33" t="s">
        <v>49</v>
      </c>
      <c r="AA33" t="s">
        <v>89</v>
      </c>
      <c r="AB33" s="1">
        <v>41589</v>
      </c>
      <c r="AD33" t="s">
        <v>51</v>
      </c>
      <c r="AE33" t="s">
        <v>52</v>
      </c>
      <c r="AF33" t="s">
        <v>53</v>
      </c>
      <c r="AG33" t="s">
        <v>70</v>
      </c>
      <c r="AH33">
        <v>20</v>
      </c>
      <c r="AI33" t="s">
        <v>91</v>
      </c>
      <c r="AJ33" t="s">
        <v>65</v>
      </c>
      <c r="AK33">
        <v>3.5</v>
      </c>
      <c r="AL33">
        <v>5</v>
      </c>
      <c r="AM33">
        <v>0</v>
      </c>
      <c r="AN33" s="1">
        <v>43486</v>
      </c>
      <c r="AO33">
        <v>0</v>
      </c>
      <c r="AP33">
        <v>17</v>
      </c>
    </row>
    <row r="34" spans="1:42">
      <c r="A34" t="s">
        <v>145</v>
      </c>
      <c r="B34" t="str">
        <f t="shared" si="0"/>
        <v>Jessica</v>
      </c>
      <c r="C34" t="str">
        <f t="shared" si="1"/>
        <v>Bunbury</v>
      </c>
      <c r="D34">
        <f t="shared" ca="1" si="2"/>
        <v>2</v>
      </c>
      <c r="E34" t="str" cm="1">
        <f t="array" ref="E34">_xlfn.IFS(P34&lt;40000, "Low", P34&lt;70000, "MID", P34&lt;100000, "HIGH", P34&gt;=100000, "Executive")</f>
        <v>HIGH</v>
      </c>
      <c r="F34" t="str" cm="1">
        <f t="array" ref="F34">_xlfn.IFS(AJ34="Exceeds", "Top Performer", AJ34="Fully Meets", "Solid Performer", AJ34="Needs Improvement", "Underperformer", AJ34="PIP", "At Risk")</f>
        <v>Solid Performer</v>
      </c>
      <c r="G34" t="str" cm="1">
        <f t="array" ref="G34">_xlfn.IFS(AE34="Active", "Retained", AE34="Voluntarily Terminated", "Voluntary Exit", AE34="Terminated for Cause", "Involuntary Exit")</f>
        <v>Voluntary Exit</v>
      </c>
      <c r="H34">
        <v>10188</v>
      </c>
      <c r="I34">
        <v>1</v>
      </c>
      <c r="J34">
        <v>1</v>
      </c>
      <c r="K34">
        <v>0</v>
      </c>
      <c r="L34">
        <v>5</v>
      </c>
      <c r="M34">
        <v>6</v>
      </c>
      <c r="N34">
        <v>3</v>
      </c>
      <c r="O34">
        <v>0</v>
      </c>
      <c r="P34">
        <v>74326</v>
      </c>
      <c r="Q34">
        <v>1</v>
      </c>
      <c r="R34">
        <v>3</v>
      </c>
      <c r="S34" t="s">
        <v>146</v>
      </c>
      <c r="T34" t="s">
        <v>147</v>
      </c>
      <c r="U34">
        <v>21851</v>
      </c>
      <c r="V34" s="1">
        <v>23529</v>
      </c>
      <c r="W34" t="s">
        <v>68</v>
      </c>
      <c r="X34" t="s">
        <v>59</v>
      </c>
      <c r="Y34" t="s">
        <v>114</v>
      </c>
      <c r="Z34" t="s">
        <v>49</v>
      </c>
      <c r="AA34" t="s">
        <v>89</v>
      </c>
      <c r="AB34" s="1">
        <v>40770</v>
      </c>
      <c r="AC34" s="1">
        <v>41853</v>
      </c>
      <c r="AD34" t="s">
        <v>97</v>
      </c>
      <c r="AE34" t="s">
        <v>61</v>
      </c>
      <c r="AF34" t="s">
        <v>148</v>
      </c>
      <c r="AG34" t="s">
        <v>149</v>
      </c>
      <c r="AH34">
        <v>17</v>
      </c>
      <c r="AI34" t="s">
        <v>77</v>
      </c>
      <c r="AJ34" t="s">
        <v>65</v>
      </c>
      <c r="AK34">
        <v>3.14</v>
      </c>
      <c r="AL34">
        <v>5</v>
      </c>
      <c r="AM34">
        <v>0</v>
      </c>
      <c r="AN34" s="1">
        <v>41315</v>
      </c>
      <c r="AO34">
        <v>1</v>
      </c>
      <c r="AP34">
        <v>19</v>
      </c>
    </row>
    <row r="35" spans="1:42">
      <c r="A35" t="s">
        <v>150</v>
      </c>
      <c r="B35" t="str">
        <f t="shared" si="0"/>
        <v>Joelle</v>
      </c>
      <c r="C35" t="str">
        <f t="shared" si="1"/>
        <v>Burke</v>
      </c>
      <c r="D35">
        <f t="shared" ca="1" si="2"/>
        <v>14</v>
      </c>
      <c r="E35" t="str" cm="1">
        <f t="array" ref="E35">_xlfn.IFS(P35&lt;40000, "Low", P35&lt;70000, "MID", P35&lt;100000, "HIGH", P35&gt;=100000, "Executive")</f>
        <v>MID</v>
      </c>
      <c r="F35" t="str" cm="1">
        <f t="array" ref="F35">_xlfn.IFS(AJ35="Exceeds", "Top Performer", AJ35="Fully Meets", "Solid Performer", AJ35="Needs Improvement", "Underperformer", AJ35="PIP", "At Risk")</f>
        <v>Solid Performer</v>
      </c>
      <c r="G35" t="str" cm="1">
        <f t="array" ref="G35">_xlfn.IFS(AE35="Active", "Retained", AE35="Voluntarily Terminated", "Voluntary Exit", AE35="Terminated for Cause", "Involuntary Exit")</f>
        <v>Retained</v>
      </c>
      <c r="H35">
        <v>10107</v>
      </c>
      <c r="I35">
        <v>0</v>
      </c>
      <c r="J35">
        <v>0</v>
      </c>
      <c r="K35">
        <v>0</v>
      </c>
      <c r="L35">
        <v>1</v>
      </c>
      <c r="M35">
        <v>5</v>
      </c>
      <c r="N35">
        <v>3</v>
      </c>
      <c r="O35">
        <v>0</v>
      </c>
      <c r="P35">
        <v>63763</v>
      </c>
      <c r="Q35">
        <v>0</v>
      </c>
      <c r="R35">
        <v>20</v>
      </c>
      <c r="S35" t="s">
        <v>67</v>
      </c>
      <c r="T35" t="s">
        <v>45</v>
      </c>
      <c r="U35">
        <v>2148</v>
      </c>
      <c r="V35" s="1">
        <v>29282</v>
      </c>
      <c r="W35" t="s">
        <v>68</v>
      </c>
      <c r="X35" t="s">
        <v>47</v>
      </c>
      <c r="Y35" t="s">
        <v>48</v>
      </c>
      <c r="Z35" t="s">
        <v>49</v>
      </c>
      <c r="AA35" t="s">
        <v>89</v>
      </c>
      <c r="AB35" s="1">
        <v>40973</v>
      </c>
      <c r="AD35" t="s">
        <v>51</v>
      </c>
      <c r="AE35" t="s">
        <v>52</v>
      </c>
      <c r="AF35" t="s">
        <v>53</v>
      </c>
      <c r="AG35" t="s">
        <v>79</v>
      </c>
      <c r="AH35">
        <v>11</v>
      </c>
      <c r="AI35" t="s">
        <v>87</v>
      </c>
      <c r="AJ35" t="s">
        <v>65</v>
      </c>
      <c r="AK35">
        <v>4.51</v>
      </c>
      <c r="AL35">
        <v>4</v>
      </c>
      <c r="AM35">
        <v>0</v>
      </c>
      <c r="AN35" s="1">
        <v>43517</v>
      </c>
      <c r="AO35">
        <v>0</v>
      </c>
      <c r="AP35">
        <v>3</v>
      </c>
    </row>
    <row r="36" spans="1:42">
      <c r="A36" t="s">
        <v>151</v>
      </c>
      <c r="B36" t="str">
        <f t="shared" si="0"/>
        <v>Benjamin</v>
      </c>
      <c r="C36" t="str">
        <f t="shared" si="1"/>
        <v>Burkett</v>
      </c>
      <c r="D36">
        <f t="shared" ca="1" si="2"/>
        <v>14</v>
      </c>
      <c r="E36" t="str" cm="1">
        <f t="array" ref="E36">_xlfn.IFS(P36&lt;40000, "Low", P36&lt;70000, "MID", P36&lt;100000, "HIGH", P36&gt;=100000, "Executive")</f>
        <v>MID</v>
      </c>
      <c r="F36" t="str" cm="1">
        <f t="array" ref="F36">_xlfn.IFS(AJ36="Exceeds", "Top Performer", AJ36="Fully Meets", "Solid Performer", AJ36="Needs Improvement", "Underperformer", AJ36="PIP", "At Risk")</f>
        <v>Solid Performer</v>
      </c>
      <c r="G36" t="str" cm="1">
        <f t="array" ref="G36">_xlfn.IFS(AE36="Active", "Retained", AE36="Voluntarily Terminated", "Voluntary Exit", AE36="Terminated for Cause", "Involuntary Exit")</f>
        <v>Retained</v>
      </c>
      <c r="H36">
        <v>10181</v>
      </c>
      <c r="I36">
        <v>1</v>
      </c>
      <c r="J36">
        <v>1</v>
      </c>
      <c r="K36">
        <v>1</v>
      </c>
      <c r="L36">
        <v>1</v>
      </c>
      <c r="M36">
        <v>5</v>
      </c>
      <c r="N36">
        <v>3</v>
      </c>
      <c r="O36">
        <v>0</v>
      </c>
      <c r="P36">
        <v>62162</v>
      </c>
      <c r="Q36">
        <v>0</v>
      </c>
      <c r="R36">
        <v>20</v>
      </c>
      <c r="S36" t="s">
        <v>67</v>
      </c>
      <c r="T36" t="s">
        <v>45</v>
      </c>
      <c r="U36">
        <v>1890</v>
      </c>
      <c r="V36" s="1">
        <v>28356</v>
      </c>
      <c r="W36" t="s">
        <v>46</v>
      </c>
      <c r="X36" t="s">
        <v>59</v>
      </c>
      <c r="Y36" t="s">
        <v>48</v>
      </c>
      <c r="Z36" t="s">
        <v>49</v>
      </c>
      <c r="AA36" t="s">
        <v>50</v>
      </c>
      <c r="AB36" s="1">
        <v>40637</v>
      </c>
      <c r="AD36" t="s">
        <v>51</v>
      </c>
      <c r="AE36" t="s">
        <v>52</v>
      </c>
      <c r="AF36" t="s">
        <v>53</v>
      </c>
      <c r="AG36" t="s">
        <v>86</v>
      </c>
      <c r="AH36">
        <v>19</v>
      </c>
      <c r="AI36" t="s">
        <v>64</v>
      </c>
      <c r="AJ36" t="s">
        <v>65</v>
      </c>
      <c r="AK36">
        <v>3.25</v>
      </c>
      <c r="AL36">
        <v>5</v>
      </c>
      <c r="AM36">
        <v>0</v>
      </c>
      <c r="AN36" s="1">
        <v>43479</v>
      </c>
      <c r="AO36">
        <v>0</v>
      </c>
      <c r="AP36">
        <v>15</v>
      </c>
    </row>
    <row r="37" spans="1:42">
      <c r="A37" t="s">
        <v>152</v>
      </c>
      <c r="B37" t="str">
        <f t="shared" si="0"/>
        <v>Max</v>
      </c>
      <c r="C37" t="str">
        <f t="shared" si="1"/>
        <v>Cady</v>
      </c>
      <c r="D37">
        <f t="shared" ca="1" si="2"/>
        <v>14</v>
      </c>
      <c r="E37" t="str" cm="1">
        <f t="array" ref="E37">_xlfn.IFS(P37&lt;40000, "Low", P37&lt;70000, "MID", P37&lt;100000, "HIGH", P37&gt;=100000, "Executive")</f>
        <v>HIGH</v>
      </c>
      <c r="F37" t="str" cm="1">
        <f t="array" ref="F37">_xlfn.IFS(AJ37="Exceeds", "Top Performer", AJ37="Fully Meets", "Solid Performer", AJ37="Needs Improvement", "Underperformer", AJ37="PIP", "At Risk")</f>
        <v>Solid Performer</v>
      </c>
      <c r="G37" t="str" cm="1">
        <f t="array" ref="G37">_xlfn.IFS(AE37="Active", "Retained", AE37="Voluntarily Terminated", "Voluntary Exit", AE37="Terminated for Cause", "Involuntary Exit")</f>
        <v>Retained</v>
      </c>
      <c r="H37">
        <v>10150</v>
      </c>
      <c r="I37">
        <v>0</v>
      </c>
      <c r="J37">
        <v>0</v>
      </c>
      <c r="K37">
        <v>1</v>
      </c>
      <c r="L37">
        <v>1</v>
      </c>
      <c r="M37">
        <v>4</v>
      </c>
      <c r="N37">
        <v>3</v>
      </c>
      <c r="O37">
        <v>0</v>
      </c>
      <c r="P37">
        <v>77692</v>
      </c>
      <c r="Q37">
        <v>0</v>
      </c>
      <c r="R37">
        <v>25</v>
      </c>
      <c r="S37" t="s">
        <v>153</v>
      </c>
      <c r="T37" t="s">
        <v>45</v>
      </c>
      <c r="U37">
        <v>2184</v>
      </c>
      <c r="V37" s="1">
        <v>24433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  <c r="AB37" s="1">
        <v>40770</v>
      </c>
      <c r="AD37" t="s">
        <v>51</v>
      </c>
      <c r="AE37" t="s">
        <v>52</v>
      </c>
      <c r="AF37" t="s">
        <v>82</v>
      </c>
      <c r="AG37" t="s">
        <v>154</v>
      </c>
      <c r="AH37">
        <v>5</v>
      </c>
      <c r="AI37" t="s">
        <v>77</v>
      </c>
      <c r="AJ37" t="s">
        <v>65</v>
      </c>
      <c r="AK37">
        <v>3.84</v>
      </c>
      <c r="AL37">
        <v>3</v>
      </c>
      <c r="AM37">
        <v>5</v>
      </c>
      <c r="AN37" s="1">
        <v>43486</v>
      </c>
      <c r="AO37">
        <v>0</v>
      </c>
      <c r="AP37">
        <v>4</v>
      </c>
    </row>
    <row r="38" spans="1:42">
      <c r="A38" t="s">
        <v>155</v>
      </c>
      <c r="B38" t="str">
        <f t="shared" si="0"/>
        <v>Calvin</v>
      </c>
      <c r="C38" t="str">
        <f t="shared" si="1"/>
        <v>Candie</v>
      </c>
      <c r="D38">
        <f t="shared" ca="1" si="2"/>
        <v>10</v>
      </c>
      <c r="E38" t="str" cm="1">
        <f t="array" ref="E38">_xlfn.IFS(P38&lt;40000, "Low", P38&lt;70000, "MID", P38&lt;100000, "HIGH", P38&gt;=100000, "Executive")</f>
        <v>HIGH</v>
      </c>
      <c r="F38" t="str" cm="1">
        <f t="array" ref="F38">_xlfn.IFS(AJ38="Exceeds", "Top Performer", AJ38="Fully Meets", "Solid Performer", AJ38="Needs Improvement", "Underperformer", AJ38="PIP", "At Risk")</f>
        <v>Top Performer</v>
      </c>
      <c r="G38" t="str" cm="1">
        <f t="array" ref="G38">_xlfn.IFS(AE38="Active", "Retained", AE38="Voluntarily Terminated", "Voluntary Exit", AE38="Terminated for Cause", "Involuntary Exit")</f>
        <v>Retained</v>
      </c>
      <c r="H38">
        <v>10001</v>
      </c>
      <c r="I38">
        <v>0</v>
      </c>
      <c r="J38">
        <v>0</v>
      </c>
      <c r="K38">
        <v>1</v>
      </c>
      <c r="L38">
        <v>1</v>
      </c>
      <c r="M38">
        <v>5</v>
      </c>
      <c r="N38">
        <v>4</v>
      </c>
      <c r="O38">
        <v>0</v>
      </c>
      <c r="P38">
        <v>72640</v>
      </c>
      <c r="Q38">
        <v>0</v>
      </c>
      <c r="R38">
        <v>18</v>
      </c>
      <c r="S38" t="s">
        <v>136</v>
      </c>
      <c r="T38" t="s">
        <v>45</v>
      </c>
      <c r="U38">
        <v>2169</v>
      </c>
      <c r="V38" s="1">
        <v>30537</v>
      </c>
      <c r="W38" t="s">
        <v>46</v>
      </c>
      <c r="X38" t="s">
        <v>47</v>
      </c>
      <c r="Y38" t="s">
        <v>48</v>
      </c>
      <c r="Z38" t="s">
        <v>49</v>
      </c>
      <c r="AA38" t="s">
        <v>50</v>
      </c>
      <c r="AB38" s="1">
        <v>42397</v>
      </c>
      <c r="AD38" t="s">
        <v>51</v>
      </c>
      <c r="AE38" t="s">
        <v>52</v>
      </c>
      <c r="AF38" t="s">
        <v>53</v>
      </c>
      <c r="AG38" t="s">
        <v>138</v>
      </c>
      <c r="AH38">
        <v>2</v>
      </c>
      <c r="AI38" t="s">
        <v>64</v>
      </c>
      <c r="AJ38" t="s">
        <v>56</v>
      </c>
      <c r="AK38">
        <v>5</v>
      </c>
      <c r="AL38">
        <v>3</v>
      </c>
      <c r="AM38">
        <v>0</v>
      </c>
      <c r="AN38" s="1">
        <v>43518</v>
      </c>
      <c r="AO38">
        <v>0</v>
      </c>
      <c r="AP38">
        <v>14</v>
      </c>
    </row>
    <row r="39" spans="1:42">
      <c r="A39" t="s">
        <v>156</v>
      </c>
      <c r="B39" t="str">
        <f t="shared" si="0"/>
        <v>Judith</v>
      </c>
      <c r="C39" t="str">
        <f t="shared" si="1"/>
        <v>Carabbio</v>
      </c>
      <c r="D39">
        <f t="shared" ca="1" si="2"/>
        <v>12</v>
      </c>
      <c r="E39" t="str" cm="1">
        <f t="array" ref="E39">_xlfn.IFS(P39&lt;40000, "Low", P39&lt;70000, "MID", P39&lt;100000, "HIGH", P39&gt;=100000, "Executive")</f>
        <v>HIGH</v>
      </c>
      <c r="F39" t="str" cm="1">
        <f t="array" ref="F39">_xlfn.IFS(AJ39="Exceeds", "Top Performer", AJ39="Fully Meets", "Solid Performer", AJ39="Needs Improvement", "Underperformer", AJ39="PIP", "At Risk")</f>
        <v>Solid Performer</v>
      </c>
      <c r="G39" t="str" cm="1">
        <f t="array" ref="G39">_xlfn.IFS(AE39="Active", "Retained", AE39="Voluntarily Terminated", "Voluntary Exit", AE39="Terminated for Cause", "Involuntary Exit")</f>
        <v>Retained</v>
      </c>
      <c r="H39">
        <v>10085</v>
      </c>
      <c r="I39">
        <v>0</v>
      </c>
      <c r="J39">
        <v>0</v>
      </c>
      <c r="K39">
        <v>0</v>
      </c>
      <c r="L39">
        <v>1</v>
      </c>
      <c r="M39">
        <v>4</v>
      </c>
      <c r="N39">
        <v>3</v>
      </c>
      <c r="O39">
        <v>0</v>
      </c>
      <c r="P39">
        <v>93396</v>
      </c>
      <c r="Q39">
        <v>0</v>
      </c>
      <c r="R39">
        <v>24</v>
      </c>
      <c r="S39" t="s">
        <v>81</v>
      </c>
      <c r="T39" t="s">
        <v>45</v>
      </c>
      <c r="U39">
        <v>2132</v>
      </c>
      <c r="V39" s="1">
        <v>31872</v>
      </c>
      <c r="W39" t="s">
        <v>68</v>
      </c>
      <c r="X39" t="s">
        <v>47</v>
      </c>
      <c r="Y39" t="s">
        <v>48</v>
      </c>
      <c r="Z39" t="s">
        <v>49</v>
      </c>
      <c r="AA39" t="s">
        <v>50</v>
      </c>
      <c r="AB39" s="1">
        <v>41589</v>
      </c>
      <c r="AD39" t="s">
        <v>51</v>
      </c>
      <c r="AE39" t="s">
        <v>52</v>
      </c>
      <c r="AF39" t="s">
        <v>82</v>
      </c>
      <c r="AG39" t="s">
        <v>83</v>
      </c>
      <c r="AH39">
        <v>10</v>
      </c>
      <c r="AI39" t="s">
        <v>64</v>
      </c>
      <c r="AJ39" t="s">
        <v>65</v>
      </c>
      <c r="AK39">
        <v>4.96</v>
      </c>
      <c r="AL39">
        <v>4</v>
      </c>
      <c r="AM39">
        <v>6</v>
      </c>
      <c r="AN39" s="1">
        <v>43495</v>
      </c>
      <c r="AO39">
        <v>0</v>
      </c>
      <c r="AP39">
        <v>3</v>
      </c>
    </row>
    <row r="40" spans="1:42">
      <c r="A40" t="s">
        <v>157</v>
      </c>
      <c r="B40" t="str">
        <f t="shared" si="0"/>
        <v>Michael</v>
      </c>
      <c r="C40" t="str">
        <f t="shared" si="1"/>
        <v>Carey</v>
      </c>
      <c r="D40">
        <f t="shared" ca="1" si="2"/>
        <v>12</v>
      </c>
      <c r="E40" t="str" cm="1">
        <f t="array" ref="E40">_xlfn.IFS(P40&lt;40000, "Low", P40&lt;70000, "MID", P40&lt;100000, "HIGH", P40&gt;=100000, "Executive")</f>
        <v>MID</v>
      </c>
      <c r="F40" t="str" cm="1">
        <f t="array" ref="F40">_xlfn.IFS(AJ40="Exceeds", "Top Performer", AJ40="Fully Meets", "Solid Performer", AJ40="Needs Improvement", "Underperformer", AJ40="PIP", "At Risk")</f>
        <v>Solid Performer</v>
      </c>
      <c r="G40" t="str" cm="1">
        <f t="array" ref="G40">_xlfn.IFS(AE40="Active", "Retained", AE40="Voluntarily Terminated", "Voluntary Exit", AE40="Terminated for Cause", "Involuntary Exit")</f>
        <v>Retained</v>
      </c>
      <c r="H40">
        <v>10115</v>
      </c>
      <c r="I40">
        <v>0</v>
      </c>
      <c r="J40">
        <v>0</v>
      </c>
      <c r="K40">
        <v>1</v>
      </c>
      <c r="L40">
        <v>1</v>
      </c>
      <c r="M40">
        <v>5</v>
      </c>
      <c r="N40">
        <v>3</v>
      </c>
      <c r="O40">
        <v>0</v>
      </c>
      <c r="P40">
        <v>52846</v>
      </c>
      <c r="Q40">
        <v>0</v>
      </c>
      <c r="R40">
        <v>19</v>
      </c>
      <c r="S40" t="s">
        <v>44</v>
      </c>
      <c r="T40" t="s">
        <v>45</v>
      </c>
      <c r="U40">
        <v>1701</v>
      </c>
      <c r="V40" s="1">
        <v>30349</v>
      </c>
      <c r="W40" t="s">
        <v>46</v>
      </c>
      <c r="X40" t="s">
        <v>47</v>
      </c>
      <c r="Y40" t="s">
        <v>48</v>
      </c>
      <c r="Z40" t="s">
        <v>49</v>
      </c>
      <c r="AA40" t="s">
        <v>89</v>
      </c>
      <c r="AB40" s="1">
        <v>41729</v>
      </c>
      <c r="AD40" t="s">
        <v>51</v>
      </c>
      <c r="AE40" t="s">
        <v>52</v>
      </c>
      <c r="AF40" t="s">
        <v>53</v>
      </c>
      <c r="AG40" t="s">
        <v>106</v>
      </c>
      <c r="AH40">
        <v>18</v>
      </c>
      <c r="AI40" t="s">
        <v>55</v>
      </c>
      <c r="AJ40" t="s">
        <v>65</v>
      </c>
      <c r="AK40">
        <v>4.43</v>
      </c>
      <c r="AL40">
        <v>3</v>
      </c>
      <c r="AM40">
        <v>0</v>
      </c>
      <c r="AN40" s="1">
        <v>43497</v>
      </c>
      <c r="AO40">
        <v>0</v>
      </c>
      <c r="AP40">
        <v>14</v>
      </c>
    </row>
    <row r="41" spans="1:42">
      <c r="A41" t="s">
        <v>158</v>
      </c>
      <c r="B41" t="str">
        <f t="shared" si="0"/>
        <v>Claudia N</v>
      </c>
      <c r="C41" t="str">
        <f t="shared" si="1"/>
        <v>Carr</v>
      </c>
      <c r="D41">
        <f t="shared" ca="1" si="2"/>
        <v>9</v>
      </c>
      <c r="E41" t="str" cm="1">
        <f t="array" ref="E41">_xlfn.IFS(P41&lt;40000, "Low", P41&lt;70000, "MID", P41&lt;100000, "HIGH", P41&gt;=100000, "Executive")</f>
        <v>Executive</v>
      </c>
      <c r="F41" t="str" cm="1">
        <f t="array" ref="F41">_xlfn.IFS(AJ41="Exceeds", "Top Performer", AJ41="Fully Meets", "Solid Performer", AJ41="Needs Improvement", "Underperformer", AJ41="PIP", "At Risk")</f>
        <v>Solid Performer</v>
      </c>
      <c r="G41" t="str" cm="1">
        <f t="array" ref="G41">_xlfn.IFS(AE41="Active", "Retained", AE41="Voluntarily Terminated", "Voluntary Exit", AE41="Terminated for Cause", "Involuntary Exit")</f>
        <v>Retained</v>
      </c>
      <c r="H41">
        <v>10082</v>
      </c>
      <c r="I41">
        <v>0</v>
      </c>
      <c r="J41">
        <v>0</v>
      </c>
      <c r="K41">
        <v>0</v>
      </c>
      <c r="L41">
        <v>2</v>
      </c>
      <c r="M41">
        <v>3</v>
      </c>
      <c r="N41">
        <v>3</v>
      </c>
      <c r="O41">
        <v>0</v>
      </c>
      <c r="P41">
        <v>100031</v>
      </c>
      <c r="Q41">
        <v>0</v>
      </c>
      <c r="R41">
        <v>27</v>
      </c>
      <c r="S41" t="s">
        <v>58</v>
      </c>
      <c r="T41" t="s">
        <v>45</v>
      </c>
      <c r="U41">
        <v>1886</v>
      </c>
      <c r="V41" s="1">
        <v>31569</v>
      </c>
      <c r="W41" t="s">
        <v>68</v>
      </c>
      <c r="X41" t="s">
        <v>47</v>
      </c>
      <c r="Y41" t="s">
        <v>48</v>
      </c>
      <c r="Z41" t="s">
        <v>49</v>
      </c>
      <c r="AA41" t="s">
        <v>89</v>
      </c>
      <c r="AB41" s="1">
        <v>42551</v>
      </c>
      <c r="AD41" t="s">
        <v>51</v>
      </c>
      <c r="AE41" t="s">
        <v>52</v>
      </c>
      <c r="AF41" t="s">
        <v>62</v>
      </c>
      <c r="AG41" t="s">
        <v>63</v>
      </c>
      <c r="AH41">
        <v>4</v>
      </c>
      <c r="AI41" t="s">
        <v>55</v>
      </c>
      <c r="AJ41" t="s">
        <v>65</v>
      </c>
      <c r="AK41">
        <v>5</v>
      </c>
      <c r="AL41">
        <v>5</v>
      </c>
      <c r="AM41">
        <v>6</v>
      </c>
      <c r="AN41" s="1">
        <v>43514</v>
      </c>
      <c r="AO41">
        <v>0</v>
      </c>
      <c r="AP41">
        <v>7</v>
      </c>
    </row>
    <row r="42" spans="1:42">
      <c r="A42" t="s">
        <v>159</v>
      </c>
      <c r="B42" t="str">
        <f t="shared" si="0"/>
        <v>Michelle</v>
      </c>
      <c r="C42" t="str">
        <f t="shared" si="1"/>
        <v>Carter</v>
      </c>
      <c r="D42">
        <f t="shared" ca="1" si="2"/>
        <v>11</v>
      </c>
      <c r="E42" t="str" cm="1">
        <f t="array" ref="E42">_xlfn.IFS(P42&lt;40000, "Low", P42&lt;70000, "MID", P42&lt;100000, "HIGH", P42&gt;=100000, "Executive")</f>
        <v>HIGH</v>
      </c>
      <c r="F42" t="str" cm="1">
        <f t="array" ref="F42">_xlfn.IFS(AJ42="Exceeds", "Top Performer", AJ42="Fully Meets", "Solid Performer", AJ42="Needs Improvement", "Underperformer", AJ42="PIP", "At Risk")</f>
        <v>Solid Performer</v>
      </c>
      <c r="G42" t="str" cm="1">
        <f t="array" ref="G42">_xlfn.IFS(AE42="Active", "Retained", AE42="Voluntarily Terminated", "Voluntary Exit", AE42="Terminated for Cause", "Involuntary Exit")</f>
        <v>Retained</v>
      </c>
      <c r="H42">
        <v>10040</v>
      </c>
      <c r="I42">
        <v>0</v>
      </c>
      <c r="J42">
        <v>0</v>
      </c>
      <c r="K42">
        <v>0</v>
      </c>
      <c r="L42">
        <v>1</v>
      </c>
      <c r="M42">
        <v>6</v>
      </c>
      <c r="N42">
        <v>3</v>
      </c>
      <c r="O42">
        <v>0</v>
      </c>
      <c r="P42">
        <v>71860</v>
      </c>
      <c r="Q42">
        <v>0</v>
      </c>
      <c r="R42">
        <v>3</v>
      </c>
      <c r="S42" t="s">
        <v>146</v>
      </c>
      <c r="T42" t="s">
        <v>160</v>
      </c>
      <c r="U42">
        <v>5664</v>
      </c>
      <c r="V42" s="1">
        <v>23146</v>
      </c>
      <c r="W42" t="s">
        <v>68</v>
      </c>
      <c r="X42" t="s">
        <v>47</v>
      </c>
      <c r="Y42" t="s">
        <v>48</v>
      </c>
      <c r="Z42" t="s">
        <v>49</v>
      </c>
      <c r="AA42" t="s">
        <v>50</v>
      </c>
      <c r="AB42" s="1">
        <v>41869</v>
      </c>
      <c r="AD42" t="s">
        <v>51</v>
      </c>
      <c r="AE42" t="s">
        <v>52</v>
      </c>
      <c r="AF42" t="s">
        <v>148</v>
      </c>
      <c r="AG42" t="s">
        <v>149</v>
      </c>
      <c r="AH42">
        <v>17</v>
      </c>
      <c r="AI42" t="s">
        <v>64</v>
      </c>
      <c r="AJ42" t="s">
        <v>65</v>
      </c>
      <c r="AK42">
        <v>5</v>
      </c>
      <c r="AL42">
        <v>5</v>
      </c>
      <c r="AM42">
        <v>0</v>
      </c>
      <c r="AN42" s="1">
        <v>43486</v>
      </c>
      <c r="AO42">
        <v>0</v>
      </c>
      <c r="AP42">
        <v>7</v>
      </c>
    </row>
    <row r="43" spans="1:42">
      <c r="A43" t="s">
        <v>161</v>
      </c>
      <c r="B43" t="str">
        <f t="shared" si="0"/>
        <v>Beatrice</v>
      </c>
      <c r="C43" t="str">
        <f t="shared" si="1"/>
        <v>Chace</v>
      </c>
      <c r="D43">
        <f t="shared" ca="1" si="2"/>
        <v>11</v>
      </c>
      <c r="E43" t="str" cm="1">
        <f t="array" ref="E43">_xlfn.IFS(P43&lt;40000, "Low", P43&lt;70000, "MID", P43&lt;100000, "HIGH", P43&gt;=100000, "Executive")</f>
        <v>MID</v>
      </c>
      <c r="F43" t="str" cm="1">
        <f t="array" ref="F43">_xlfn.IFS(AJ43="Exceeds", "Top Performer", AJ43="Fully Meets", "Solid Performer", AJ43="Needs Improvement", "Underperformer", AJ43="PIP", "At Risk")</f>
        <v>Solid Performer</v>
      </c>
      <c r="G43" t="str" cm="1">
        <f t="array" ref="G43">_xlfn.IFS(AE43="Active", "Retained", AE43="Voluntarily Terminated", "Voluntary Exit", AE43="Terminated for Cause", "Involuntary Exit")</f>
        <v>Retained</v>
      </c>
      <c r="H43">
        <v>10067</v>
      </c>
      <c r="I43">
        <v>0</v>
      </c>
      <c r="J43">
        <v>0</v>
      </c>
      <c r="K43">
        <v>0</v>
      </c>
      <c r="L43">
        <v>1</v>
      </c>
      <c r="M43">
        <v>5</v>
      </c>
      <c r="N43">
        <v>3</v>
      </c>
      <c r="O43">
        <v>0</v>
      </c>
      <c r="P43">
        <v>61656</v>
      </c>
      <c r="Q43">
        <v>0</v>
      </c>
      <c r="R43">
        <v>19</v>
      </c>
      <c r="S43" t="s">
        <v>44</v>
      </c>
      <c r="T43" t="s">
        <v>45</v>
      </c>
      <c r="U43">
        <v>2763</v>
      </c>
      <c r="V43" s="1">
        <v>18630</v>
      </c>
      <c r="W43" t="s">
        <v>68</v>
      </c>
      <c r="X43" t="s">
        <v>47</v>
      </c>
      <c r="Y43" t="s">
        <v>48</v>
      </c>
      <c r="Z43" t="s">
        <v>49</v>
      </c>
      <c r="AA43" t="s">
        <v>50</v>
      </c>
      <c r="AB43" s="1">
        <v>41911</v>
      </c>
      <c r="AD43" t="s">
        <v>51</v>
      </c>
      <c r="AE43" t="s">
        <v>52</v>
      </c>
      <c r="AF43" t="s">
        <v>53</v>
      </c>
      <c r="AG43" t="s">
        <v>54</v>
      </c>
      <c r="AH43">
        <v>22</v>
      </c>
      <c r="AI43" t="s">
        <v>77</v>
      </c>
      <c r="AJ43" t="s">
        <v>65</v>
      </c>
      <c r="AK43">
        <v>5</v>
      </c>
      <c r="AL43">
        <v>4</v>
      </c>
      <c r="AM43">
        <v>0</v>
      </c>
      <c r="AN43" s="1">
        <v>43508</v>
      </c>
      <c r="AO43">
        <v>0</v>
      </c>
      <c r="AP43">
        <v>11</v>
      </c>
    </row>
    <row r="44" spans="1:42">
      <c r="A44" t="s">
        <v>162</v>
      </c>
      <c r="B44" t="str">
        <f t="shared" si="0"/>
        <v>Brian</v>
      </c>
      <c r="C44" t="str">
        <f t="shared" si="1"/>
        <v>Champaigne</v>
      </c>
      <c r="D44">
        <f t="shared" ca="1" si="2"/>
        <v>9</v>
      </c>
      <c r="E44" t="str" cm="1">
        <f t="array" ref="E44">_xlfn.IFS(P44&lt;40000, "Low", P44&lt;70000, "MID", P44&lt;100000, "HIGH", P44&gt;=100000, "Executive")</f>
        <v>Executive</v>
      </c>
      <c r="F44" t="str" cm="1">
        <f t="array" ref="F44">_xlfn.IFS(AJ44="Exceeds", "Top Performer", AJ44="Fully Meets", "Solid Performer", AJ44="Needs Improvement", "Underperformer", AJ44="PIP", "At Risk")</f>
        <v>Solid Performer</v>
      </c>
      <c r="G44" t="str" cm="1">
        <f t="array" ref="G44">_xlfn.IFS(AE44="Active", "Retained", AE44="Voluntarily Terminated", "Voluntary Exit", AE44="Terminated for Cause", "Involuntary Exit")</f>
        <v>Retained</v>
      </c>
      <c r="H44">
        <v>10108</v>
      </c>
      <c r="I44">
        <v>1</v>
      </c>
      <c r="J44">
        <v>1</v>
      </c>
      <c r="K44">
        <v>1</v>
      </c>
      <c r="L44">
        <v>1</v>
      </c>
      <c r="M44">
        <v>3</v>
      </c>
      <c r="N44">
        <v>3</v>
      </c>
      <c r="O44">
        <v>0</v>
      </c>
      <c r="P44">
        <v>110929</v>
      </c>
      <c r="Q44">
        <v>0</v>
      </c>
      <c r="R44">
        <v>5</v>
      </c>
      <c r="S44" t="s">
        <v>163</v>
      </c>
      <c r="T44" t="s">
        <v>45</v>
      </c>
      <c r="U44">
        <v>2045</v>
      </c>
      <c r="V44" s="1">
        <v>26338</v>
      </c>
      <c r="W44" t="s">
        <v>46</v>
      </c>
      <c r="X44" t="s">
        <v>59</v>
      </c>
      <c r="Y44" t="s">
        <v>48</v>
      </c>
      <c r="Z44" t="s">
        <v>49</v>
      </c>
      <c r="AA44" t="s">
        <v>50</v>
      </c>
      <c r="AB44" s="1">
        <v>42619</v>
      </c>
      <c r="AD44" t="s">
        <v>51</v>
      </c>
      <c r="AE44" t="s">
        <v>52</v>
      </c>
      <c r="AF44" t="s">
        <v>62</v>
      </c>
      <c r="AG44" t="s">
        <v>154</v>
      </c>
      <c r="AH44">
        <v>5</v>
      </c>
      <c r="AI44" t="s">
        <v>64</v>
      </c>
      <c r="AJ44" t="s">
        <v>65</v>
      </c>
      <c r="AK44">
        <v>4.5</v>
      </c>
      <c r="AL44">
        <v>5</v>
      </c>
      <c r="AM44">
        <v>7</v>
      </c>
      <c r="AN44" s="1">
        <v>43480</v>
      </c>
      <c r="AO44">
        <v>0</v>
      </c>
      <c r="AP44">
        <v>8</v>
      </c>
    </row>
    <row r="45" spans="1:42">
      <c r="A45" t="s">
        <v>164</v>
      </c>
      <c r="B45" t="str">
        <f t="shared" si="0"/>
        <v>Lin</v>
      </c>
      <c r="C45" t="str">
        <f t="shared" si="1"/>
        <v>Chan</v>
      </c>
      <c r="D45">
        <f t="shared" ca="1" si="2"/>
        <v>11</v>
      </c>
      <c r="E45" t="str" cm="1">
        <f t="array" ref="E45">_xlfn.IFS(P45&lt;40000, "Low", P45&lt;70000, "MID", P45&lt;100000, "HIGH", P45&gt;=100000, "Executive")</f>
        <v>MID</v>
      </c>
      <c r="F45" t="str" cm="1">
        <f t="array" ref="F45">_xlfn.IFS(AJ45="Exceeds", "Top Performer", AJ45="Fully Meets", "Solid Performer", AJ45="Needs Improvement", "Underperformer", AJ45="PIP", "At Risk")</f>
        <v>Solid Performer</v>
      </c>
      <c r="G45" t="str" cm="1">
        <f t="array" ref="G45">_xlfn.IFS(AE45="Active", "Retained", AE45="Voluntarily Terminated", "Voluntary Exit", AE45="Terminated for Cause", "Involuntary Exit")</f>
        <v>Retained</v>
      </c>
      <c r="H45">
        <v>10210</v>
      </c>
      <c r="I45">
        <v>0</v>
      </c>
      <c r="J45">
        <v>0</v>
      </c>
      <c r="K45">
        <v>0</v>
      </c>
      <c r="L45">
        <v>1</v>
      </c>
      <c r="M45">
        <v>5</v>
      </c>
      <c r="N45">
        <v>3</v>
      </c>
      <c r="O45">
        <v>0</v>
      </c>
      <c r="P45">
        <v>54237</v>
      </c>
      <c r="Q45">
        <v>0</v>
      </c>
      <c r="R45">
        <v>19</v>
      </c>
      <c r="S45" t="s">
        <v>44</v>
      </c>
      <c r="T45" t="s">
        <v>45</v>
      </c>
      <c r="U45">
        <v>2170</v>
      </c>
      <c r="V45" s="1">
        <v>28898</v>
      </c>
      <c r="W45" t="s">
        <v>68</v>
      </c>
      <c r="X45" t="s">
        <v>47</v>
      </c>
      <c r="Y45" t="s">
        <v>48</v>
      </c>
      <c r="Z45" t="s">
        <v>49</v>
      </c>
      <c r="AA45" t="s">
        <v>50</v>
      </c>
      <c r="AB45" s="1">
        <v>41771</v>
      </c>
      <c r="AD45" t="s">
        <v>51</v>
      </c>
      <c r="AE45" t="s">
        <v>52</v>
      </c>
      <c r="AF45" t="s">
        <v>53</v>
      </c>
      <c r="AG45" t="s">
        <v>72</v>
      </c>
      <c r="AH45">
        <v>16</v>
      </c>
      <c r="AI45" t="s">
        <v>64</v>
      </c>
      <c r="AJ45" t="s">
        <v>65</v>
      </c>
      <c r="AK45">
        <v>3.3</v>
      </c>
      <c r="AL45">
        <v>4</v>
      </c>
      <c r="AM45">
        <v>0</v>
      </c>
      <c r="AN45" s="1">
        <v>43515</v>
      </c>
      <c r="AO45">
        <v>0</v>
      </c>
      <c r="AP45">
        <v>11</v>
      </c>
    </row>
    <row r="46" spans="1:42">
      <c r="A46" t="s">
        <v>165</v>
      </c>
      <c r="B46" t="str">
        <f t="shared" si="0"/>
        <v>Donovan E</v>
      </c>
      <c r="C46" t="str">
        <f t="shared" si="1"/>
        <v>Chang</v>
      </c>
      <c r="D46">
        <f t="shared" ca="1" si="2"/>
        <v>12</v>
      </c>
      <c r="E46" t="str" cm="1">
        <f t="array" ref="E46">_xlfn.IFS(P46&lt;40000, "Low", P46&lt;70000, "MID", P46&lt;100000, "HIGH", P46&gt;=100000, "Executive")</f>
        <v>MID</v>
      </c>
      <c r="F46" t="str" cm="1">
        <f t="array" ref="F46">_xlfn.IFS(AJ46="Exceeds", "Top Performer", AJ46="Fully Meets", "Solid Performer", AJ46="Needs Improvement", "Underperformer", AJ46="PIP", "At Risk")</f>
        <v>Solid Performer</v>
      </c>
      <c r="G46" t="str" cm="1">
        <f t="array" ref="G46">_xlfn.IFS(AE46="Active", "Retained", AE46="Voluntarily Terminated", "Voluntary Exit", AE46="Terminated for Cause", "Involuntary Exit")</f>
        <v>Retained</v>
      </c>
      <c r="H46">
        <v>10154</v>
      </c>
      <c r="I46">
        <v>0</v>
      </c>
      <c r="J46">
        <v>0</v>
      </c>
      <c r="K46">
        <v>1</v>
      </c>
      <c r="L46">
        <v>1</v>
      </c>
      <c r="M46">
        <v>5</v>
      </c>
      <c r="N46">
        <v>3</v>
      </c>
      <c r="O46">
        <v>0</v>
      </c>
      <c r="P46">
        <v>60380</v>
      </c>
      <c r="Q46">
        <v>0</v>
      </c>
      <c r="R46">
        <v>19</v>
      </c>
      <c r="S46" t="s">
        <v>44</v>
      </c>
      <c r="T46" t="s">
        <v>45</v>
      </c>
      <c r="U46">
        <v>1845</v>
      </c>
      <c r="V46" s="1">
        <v>30552</v>
      </c>
      <c r="W46" t="s">
        <v>46</v>
      </c>
      <c r="X46" t="s">
        <v>47</v>
      </c>
      <c r="Y46" t="s">
        <v>48</v>
      </c>
      <c r="Z46" t="s">
        <v>49</v>
      </c>
      <c r="AA46" t="s">
        <v>50</v>
      </c>
      <c r="AB46" s="1">
        <v>41463</v>
      </c>
      <c r="AD46" t="s">
        <v>51</v>
      </c>
      <c r="AE46" t="s">
        <v>52</v>
      </c>
      <c r="AF46" t="s">
        <v>53</v>
      </c>
      <c r="AG46" t="s">
        <v>76</v>
      </c>
      <c r="AI46" t="s">
        <v>55</v>
      </c>
      <c r="AJ46" t="s">
        <v>65</v>
      </c>
      <c r="AK46">
        <v>3.8</v>
      </c>
      <c r="AL46">
        <v>5</v>
      </c>
      <c r="AM46">
        <v>0</v>
      </c>
      <c r="AN46" s="1">
        <v>43479</v>
      </c>
      <c r="AO46">
        <v>0</v>
      </c>
      <c r="AP46">
        <v>4</v>
      </c>
    </row>
    <row r="47" spans="1:42">
      <c r="A47" t="s">
        <v>166</v>
      </c>
      <c r="B47" t="str">
        <f t="shared" si="0"/>
        <v>Anton</v>
      </c>
      <c r="C47" t="str">
        <f t="shared" si="1"/>
        <v>Chigurh</v>
      </c>
      <c r="D47">
        <f t="shared" ca="1" si="2"/>
        <v>13</v>
      </c>
      <c r="E47" t="str" cm="1">
        <f t="array" ref="E47">_xlfn.IFS(P47&lt;40000, "Low", P47&lt;70000, "MID", P47&lt;100000, "HIGH", P47&gt;=100000, "Executive")</f>
        <v>MID</v>
      </c>
      <c r="F47" t="str" cm="1">
        <f t="array" ref="F47">_xlfn.IFS(AJ47="Exceeds", "Top Performer", AJ47="Fully Meets", "Solid Performer", AJ47="Needs Improvement", "Underperformer", AJ47="PIP", "At Risk")</f>
        <v>Solid Performer</v>
      </c>
      <c r="G47" t="str" cm="1">
        <f t="array" ref="G47">_xlfn.IFS(AE47="Active", "Retained", AE47="Voluntarily Terminated", "Voluntary Exit", AE47="Terminated for Cause", "Involuntary Exit")</f>
        <v>Retained</v>
      </c>
      <c r="H47">
        <v>10200</v>
      </c>
      <c r="I47">
        <v>0</v>
      </c>
      <c r="J47">
        <v>0</v>
      </c>
      <c r="K47">
        <v>1</v>
      </c>
      <c r="L47">
        <v>1</v>
      </c>
      <c r="M47">
        <v>6</v>
      </c>
      <c r="N47">
        <v>3</v>
      </c>
      <c r="O47">
        <v>0</v>
      </c>
      <c r="P47">
        <v>66808</v>
      </c>
      <c r="Q47">
        <v>0</v>
      </c>
      <c r="R47">
        <v>3</v>
      </c>
      <c r="S47" t="s">
        <v>146</v>
      </c>
      <c r="T47" t="s">
        <v>103</v>
      </c>
      <c r="U47">
        <v>78207</v>
      </c>
      <c r="V47" s="1">
        <v>25730</v>
      </c>
      <c r="W47" t="s">
        <v>46</v>
      </c>
      <c r="X47" t="s">
        <v>47</v>
      </c>
      <c r="Y47" t="s">
        <v>114</v>
      </c>
      <c r="Z47" t="s">
        <v>49</v>
      </c>
      <c r="AA47" t="s">
        <v>89</v>
      </c>
      <c r="AB47" s="1">
        <v>41043</v>
      </c>
      <c r="AD47" t="s">
        <v>51</v>
      </c>
      <c r="AE47" t="s">
        <v>52</v>
      </c>
      <c r="AF47" t="s">
        <v>148</v>
      </c>
      <c r="AG47" t="s">
        <v>167</v>
      </c>
      <c r="AH47">
        <v>21</v>
      </c>
      <c r="AI47" t="s">
        <v>87</v>
      </c>
      <c r="AJ47" t="s">
        <v>65</v>
      </c>
      <c r="AK47">
        <v>3</v>
      </c>
      <c r="AL47">
        <v>5</v>
      </c>
      <c r="AM47">
        <v>0</v>
      </c>
      <c r="AN47" s="1">
        <v>43484</v>
      </c>
      <c r="AO47">
        <v>0</v>
      </c>
      <c r="AP47">
        <v>17</v>
      </c>
    </row>
    <row r="48" spans="1:42">
      <c r="A48" t="s">
        <v>168</v>
      </c>
      <c r="B48" t="str">
        <f t="shared" si="0"/>
        <v>Enola</v>
      </c>
      <c r="C48" t="str">
        <f t="shared" si="1"/>
        <v>Chivukula</v>
      </c>
      <c r="D48">
        <f t="shared" ca="1" si="2"/>
        <v>4</v>
      </c>
      <c r="E48" t="str" cm="1">
        <f t="array" ref="E48">_xlfn.IFS(P48&lt;40000, "Low", P48&lt;70000, "MID", P48&lt;100000, "HIGH", P48&gt;=100000, "Executive")</f>
        <v>MID</v>
      </c>
      <c r="F48" t="str" cm="1">
        <f t="array" ref="F48">_xlfn.IFS(AJ48="Exceeds", "Top Performer", AJ48="Fully Meets", "Solid Performer", AJ48="Needs Improvement", "Underperformer", AJ48="PIP", "At Risk")</f>
        <v>Solid Performer</v>
      </c>
      <c r="G48" t="str" cm="1">
        <f t="array" ref="G48">_xlfn.IFS(AE48="Active", "Retained", AE48="Voluntarily Terminated", "Voluntary Exit", AE48="Terminated for Cause", "Involuntary Exit")</f>
        <v>Voluntary Exit</v>
      </c>
      <c r="H48">
        <v>10240</v>
      </c>
      <c r="I48">
        <v>0</v>
      </c>
      <c r="J48">
        <v>0</v>
      </c>
      <c r="K48">
        <v>0</v>
      </c>
      <c r="L48">
        <v>5</v>
      </c>
      <c r="M48">
        <v>5</v>
      </c>
      <c r="N48">
        <v>3</v>
      </c>
      <c r="O48">
        <v>0</v>
      </c>
      <c r="P48">
        <v>64786</v>
      </c>
      <c r="Q48">
        <v>1</v>
      </c>
      <c r="R48">
        <v>19</v>
      </c>
      <c r="S48" t="s">
        <v>44</v>
      </c>
      <c r="T48" t="s">
        <v>45</v>
      </c>
      <c r="U48">
        <v>1775</v>
      </c>
      <c r="V48" s="1">
        <v>30555</v>
      </c>
      <c r="W48" t="s">
        <v>68</v>
      </c>
      <c r="X48" t="s">
        <v>47</v>
      </c>
      <c r="Y48" t="s">
        <v>48</v>
      </c>
      <c r="Z48" t="s">
        <v>49</v>
      </c>
      <c r="AA48" t="s">
        <v>50</v>
      </c>
      <c r="AB48" s="1">
        <v>40721</v>
      </c>
      <c r="AC48" s="1">
        <v>42323</v>
      </c>
      <c r="AD48" t="s">
        <v>169</v>
      </c>
      <c r="AE48" t="s">
        <v>61</v>
      </c>
      <c r="AF48" t="s">
        <v>53</v>
      </c>
      <c r="AG48" t="s">
        <v>79</v>
      </c>
      <c r="AH48">
        <v>11</v>
      </c>
      <c r="AI48" t="s">
        <v>64</v>
      </c>
      <c r="AJ48" t="s">
        <v>65</v>
      </c>
      <c r="AK48">
        <v>4.3</v>
      </c>
      <c r="AL48">
        <v>4</v>
      </c>
      <c r="AM48">
        <v>0</v>
      </c>
      <c r="AN48" s="1">
        <v>42073</v>
      </c>
      <c r="AO48">
        <v>0</v>
      </c>
      <c r="AP48">
        <v>3</v>
      </c>
    </row>
    <row r="49" spans="1:42">
      <c r="A49" t="s">
        <v>170</v>
      </c>
      <c r="B49" t="str">
        <f t="shared" si="0"/>
        <v>Caroline</v>
      </c>
      <c r="C49" t="str">
        <f t="shared" si="1"/>
        <v>Cierpiszewski</v>
      </c>
      <c r="D49">
        <f t="shared" ca="1" si="2"/>
        <v>14</v>
      </c>
      <c r="E49" t="str" cm="1">
        <f t="array" ref="E49">_xlfn.IFS(P49&lt;40000, "Low", P49&lt;70000, "MID", P49&lt;100000, "HIGH", P49&gt;=100000, "Executive")</f>
        <v>MID</v>
      </c>
      <c r="F49" t="str" cm="1">
        <f t="array" ref="F49">_xlfn.IFS(AJ49="Exceeds", "Top Performer", AJ49="Fully Meets", "Solid Performer", AJ49="Needs Improvement", "Underperformer", AJ49="PIP", "At Risk")</f>
        <v>Solid Performer</v>
      </c>
      <c r="G49" t="str" cm="1">
        <f t="array" ref="G49">_xlfn.IFS(AE49="Active", "Retained", AE49="Voluntarily Terminated", "Voluntary Exit", AE49="Terminated for Cause", "Involuntary Exit")</f>
        <v>Retained</v>
      </c>
      <c r="H49">
        <v>10168</v>
      </c>
      <c r="I49">
        <v>0</v>
      </c>
      <c r="J49">
        <v>0</v>
      </c>
      <c r="K49">
        <v>0</v>
      </c>
      <c r="L49">
        <v>1</v>
      </c>
      <c r="M49">
        <v>5</v>
      </c>
      <c r="N49">
        <v>3</v>
      </c>
      <c r="O49">
        <v>0</v>
      </c>
      <c r="P49">
        <v>64816</v>
      </c>
      <c r="Q49">
        <v>0</v>
      </c>
      <c r="R49">
        <v>19</v>
      </c>
      <c r="S49" t="s">
        <v>44</v>
      </c>
      <c r="T49" t="s">
        <v>45</v>
      </c>
      <c r="U49">
        <v>2044</v>
      </c>
      <c r="V49" s="1">
        <v>32294</v>
      </c>
      <c r="W49" t="s">
        <v>68</v>
      </c>
      <c r="X49" t="s">
        <v>47</v>
      </c>
      <c r="Y49" t="s">
        <v>171</v>
      </c>
      <c r="Z49" t="s">
        <v>49</v>
      </c>
      <c r="AA49" t="s">
        <v>89</v>
      </c>
      <c r="AB49" s="1">
        <v>40819</v>
      </c>
      <c r="AD49" t="s">
        <v>51</v>
      </c>
      <c r="AE49" t="s">
        <v>52</v>
      </c>
      <c r="AF49" t="s">
        <v>53</v>
      </c>
      <c r="AG49" t="s">
        <v>86</v>
      </c>
      <c r="AH49">
        <v>19</v>
      </c>
      <c r="AI49" t="s">
        <v>64</v>
      </c>
      <c r="AJ49" t="s">
        <v>65</v>
      </c>
      <c r="AK49">
        <v>3.58</v>
      </c>
      <c r="AL49">
        <v>5</v>
      </c>
      <c r="AM49">
        <v>0</v>
      </c>
      <c r="AN49" s="1">
        <v>43495</v>
      </c>
      <c r="AO49">
        <v>0</v>
      </c>
      <c r="AP49">
        <v>3</v>
      </c>
    </row>
    <row r="50" spans="1:42">
      <c r="A50" t="s">
        <v>172</v>
      </c>
      <c r="B50" t="str">
        <f t="shared" si="0"/>
        <v>Rick</v>
      </c>
      <c r="C50" t="str">
        <f t="shared" si="1"/>
        <v>Clayton</v>
      </c>
      <c r="D50">
        <f t="shared" ca="1" si="2"/>
        <v>13</v>
      </c>
      <c r="E50" t="str" cm="1">
        <f t="array" ref="E50">_xlfn.IFS(P50&lt;40000, "Low", P50&lt;70000, "MID", P50&lt;100000, "HIGH", P50&gt;=100000, "Executive")</f>
        <v>MID</v>
      </c>
      <c r="F50" t="str" cm="1">
        <f t="array" ref="F50">_xlfn.IFS(AJ50="Exceeds", "Top Performer", AJ50="Fully Meets", "Solid Performer", AJ50="Needs Improvement", "Underperformer", AJ50="PIP", "At Risk")</f>
        <v>Solid Performer</v>
      </c>
      <c r="G50" t="str" cm="1">
        <f t="array" ref="G50">_xlfn.IFS(AE50="Active", "Retained", AE50="Voluntarily Terminated", "Voluntary Exit", AE50="Terminated for Cause", "Involuntary Exit")</f>
        <v>Retained</v>
      </c>
      <c r="H50">
        <v>10220</v>
      </c>
      <c r="I50">
        <v>0</v>
      </c>
      <c r="J50">
        <v>0</v>
      </c>
      <c r="K50">
        <v>1</v>
      </c>
      <c r="L50">
        <v>1</v>
      </c>
      <c r="M50">
        <v>3</v>
      </c>
      <c r="N50">
        <v>3</v>
      </c>
      <c r="O50">
        <v>0</v>
      </c>
      <c r="P50">
        <v>68678</v>
      </c>
      <c r="Q50">
        <v>0</v>
      </c>
      <c r="R50">
        <v>14</v>
      </c>
      <c r="S50" t="s">
        <v>93</v>
      </c>
      <c r="T50" t="s">
        <v>45</v>
      </c>
      <c r="U50">
        <v>2170</v>
      </c>
      <c r="V50" s="1">
        <v>31295</v>
      </c>
      <c r="W50" t="s">
        <v>46</v>
      </c>
      <c r="X50" t="s">
        <v>47</v>
      </c>
      <c r="Y50" t="s">
        <v>48</v>
      </c>
      <c r="Z50" t="s">
        <v>49</v>
      </c>
      <c r="AA50" t="s">
        <v>50</v>
      </c>
      <c r="AB50" s="1">
        <v>41157</v>
      </c>
      <c r="AD50" t="s">
        <v>51</v>
      </c>
      <c r="AE50" t="s">
        <v>52</v>
      </c>
      <c r="AF50" t="s">
        <v>62</v>
      </c>
      <c r="AG50" t="s">
        <v>173</v>
      </c>
      <c r="AH50">
        <v>6</v>
      </c>
      <c r="AI50" t="s">
        <v>64</v>
      </c>
      <c r="AJ50" t="s">
        <v>65</v>
      </c>
      <c r="AK50">
        <v>4.7</v>
      </c>
      <c r="AL50">
        <v>3</v>
      </c>
      <c r="AM50">
        <v>6</v>
      </c>
      <c r="AN50" s="1">
        <v>43523</v>
      </c>
      <c r="AO50">
        <v>0</v>
      </c>
      <c r="AP50">
        <v>2</v>
      </c>
    </row>
    <row r="51" spans="1:42">
      <c r="A51" t="s">
        <v>174</v>
      </c>
      <c r="B51" t="str">
        <f t="shared" si="0"/>
        <v>Jennifer</v>
      </c>
      <c r="C51" t="str">
        <f t="shared" si="1"/>
        <v>Cloninger</v>
      </c>
      <c r="D51">
        <f t="shared" ca="1" si="2"/>
        <v>1</v>
      </c>
      <c r="E51" t="str" cm="1">
        <f t="array" ref="E51">_xlfn.IFS(P51&lt;40000, "Low", P51&lt;70000, "MID", P51&lt;100000, "HIGH", P51&gt;=100000, "Executive")</f>
        <v>MID</v>
      </c>
      <c r="F51" t="str" cm="1">
        <f t="array" ref="F51">_xlfn.IFS(AJ51="Exceeds", "Top Performer", AJ51="Fully Meets", "Solid Performer", AJ51="Needs Improvement", "Underperformer", AJ51="PIP", "At Risk")</f>
        <v>Solid Performer</v>
      </c>
      <c r="G51" t="str" cm="1">
        <f t="array" ref="G51">_xlfn.IFS(AE51="Active", "Retained", AE51="Voluntarily Terminated", "Voluntary Exit", AE51="Terminated for Cause", "Involuntary Exit")</f>
        <v>Voluntary Exit</v>
      </c>
      <c r="H51">
        <v>10275</v>
      </c>
      <c r="I51">
        <v>1</v>
      </c>
      <c r="J51">
        <v>1</v>
      </c>
      <c r="K51">
        <v>0</v>
      </c>
      <c r="L51">
        <v>5</v>
      </c>
      <c r="M51">
        <v>5</v>
      </c>
      <c r="N51">
        <v>3</v>
      </c>
      <c r="O51">
        <v>0</v>
      </c>
      <c r="P51">
        <v>64066</v>
      </c>
      <c r="Q51">
        <v>1</v>
      </c>
      <c r="R51">
        <v>20</v>
      </c>
      <c r="S51" t="s">
        <v>67</v>
      </c>
      <c r="T51" t="s">
        <v>45</v>
      </c>
      <c r="U51">
        <v>1752</v>
      </c>
      <c r="V51" s="1">
        <v>29829</v>
      </c>
      <c r="W51" t="s">
        <v>68</v>
      </c>
      <c r="X51" t="s">
        <v>59</v>
      </c>
      <c r="Y51" t="s">
        <v>48</v>
      </c>
      <c r="Z51" t="s">
        <v>49</v>
      </c>
      <c r="AA51" t="s">
        <v>50</v>
      </c>
      <c r="AB51" s="1">
        <v>40679</v>
      </c>
      <c r="AC51" s="1">
        <v>41281</v>
      </c>
      <c r="AD51" t="s">
        <v>100</v>
      </c>
      <c r="AE51" t="s">
        <v>61</v>
      </c>
      <c r="AF51" t="s">
        <v>53</v>
      </c>
      <c r="AG51" t="s">
        <v>90</v>
      </c>
      <c r="AH51">
        <v>12</v>
      </c>
      <c r="AI51" t="s">
        <v>77</v>
      </c>
      <c r="AJ51" t="s">
        <v>65</v>
      </c>
      <c r="AK51">
        <v>4.2</v>
      </c>
      <c r="AL51">
        <v>5</v>
      </c>
      <c r="AM51">
        <v>0</v>
      </c>
      <c r="AN51" s="1">
        <v>41032</v>
      </c>
      <c r="AO51">
        <v>0</v>
      </c>
      <c r="AP51">
        <v>9</v>
      </c>
    </row>
    <row r="52" spans="1:42">
      <c r="A52" t="s">
        <v>175</v>
      </c>
      <c r="B52" t="str">
        <f t="shared" si="0"/>
        <v>Phil</v>
      </c>
      <c r="C52" t="str">
        <f t="shared" si="1"/>
        <v>Close</v>
      </c>
      <c r="D52">
        <f t="shared" ca="1" si="2"/>
        <v>1</v>
      </c>
      <c r="E52" t="str" cm="1">
        <f t="array" ref="E52">_xlfn.IFS(P52&lt;40000, "Low", P52&lt;70000, "MID", P52&lt;100000, "HIGH", P52&gt;=100000, "Executive")</f>
        <v>MID</v>
      </c>
      <c r="F52" t="str" cm="1">
        <f t="array" ref="F52">_xlfn.IFS(AJ52="Exceeds", "Top Performer", AJ52="Fully Meets", "Solid Performer", AJ52="Needs Improvement", "Underperformer", AJ52="PIP", "At Risk")</f>
        <v>Solid Performer</v>
      </c>
      <c r="G52" t="str" cm="1">
        <f t="array" ref="G52">_xlfn.IFS(AE52="Active", "Retained", AE52="Voluntarily Terminated", "Voluntary Exit", AE52="Terminated for Cause", "Involuntary Exit")</f>
        <v>Voluntary Exit</v>
      </c>
      <c r="H52">
        <v>10269</v>
      </c>
      <c r="I52">
        <v>1</v>
      </c>
      <c r="J52">
        <v>1</v>
      </c>
      <c r="K52">
        <v>1</v>
      </c>
      <c r="L52">
        <v>5</v>
      </c>
      <c r="M52">
        <v>5</v>
      </c>
      <c r="N52">
        <v>3</v>
      </c>
      <c r="O52">
        <v>0</v>
      </c>
      <c r="P52">
        <v>59369</v>
      </c>
      <c r="Q52">
        <v>1</v>
      </c>
      <c r="R52">
        <v>20</v>
      </c>
      <c r="S52" t="s">
        <v>67</v>
      </c>
      <c r="T52" t="s">
        <v>45</v>
      </c>
      <c r="U52">
        <v>2169</v>
      </c>
      <c r="V52" s="1">
        <v>28819</v>
      </c>
      <c r="W52" t="s">
        <v>46</v>
      </c>
      <c r="X52" t="s">
        <v>59</v>
      </c>
      <c r="Y52" t="s">
        <v>48</v>
      </c>
      <c r="Z52" t="s">
        <v>49</v>
      </c>
      <c r="AA52" t="s">
        <v>50</v>
      </c>
      <c r="AB52" s="1">
        <v>40420</v>
      </c>
      <c r="AC52" s="1">
        <v>40812</v>
      </c>
      <c r="AD52" t="s">
        <v>60</v>
      </c>
      <c r="AE52" t="s">
        <v>61</v>
      </c>
      <c r="AF52" t="s">
        <v>53</v>
      </c>
      <c r="AG52" t="s">
        <v>98</v>
      </c>
      <c r="AH52">
        <v>14</v>
      </c>
      <c r="AI52" t="s">
        <v>64</v>
      </c>
      <c r="AJ52" t="s">
        <v>65</v>
      </c>
      <c r="AK52">
        <v>4.2</v>
      </c>
      <c r="AL52">
        <v>4</v>
      </c>
      <c r="AM52">
        <v>0</v>
      </c>
      <c r="AN52" s="1">
        <v>40667</v>
      </c>
      <c r="AO52">
        <v>0</v>
      </c>
      <c r="AP52">
        <v>6</v>
      </c>
    </row>
    <row r="53" spans="1:42">
      <c r="A53" t="s">
        <v>176</v>
      </c>
      <c r="B53" t="str">
        <f t="shared" si="0"/>
        <v>Elijian</v>
      </c>
      <c r="C53" t="str">
        <f t="shared" si="1"/>
        <v>Clukey</v>
      </c>
      <c r="D53">
        <f t="shared" ca="1" si="2"/>
        <v>9</v>
      </c>
      <c r="E53" t="str" cm="1">
        <f t="array" ref="E53">_xlfn.IFS(P53&lt;40000, "Low", P53&lt;70000, "MID", P53&lt;100000, "HIGH", P53&gt;=100000, "Executive")</f>
        <v>MID</v>
      </c>
      <c r="F53" t="str" cm="1">
        <f t="array" ref="F53">_xlfn.IFS(AJ53="Exceeds", "Top Performer", AJ53="Fully Meets", "Solid Performer", AJ53="Needs Improvement", "Underperformer", AJ53="PIP", "At Risk")</f>
        <v>Top Performer</v>
      </c>
      <c r="G53" t="str" cm="1">
        <f t="array" ref="G53">_xlfn.IFS(AE53="Active", "Retained", AE53="Voluntarily Terminated", "Voluntary Exit", AE53="Terminated for Cause", "Involuntary Exit")</f>
        <v>Retained</v>
      </c>
      <c r="H53">
        <v>10029</v>
      </c>
      <c r="I53">
        <v>1</v>
      </c>
      <c r="J53">
        <v>1</v>
      </c>
      <c r="K53">
        <v>1</v>
      </c>
      <c r="L53">
        <v>2</v>
      </c>
      <c r="M53">
        <v>5</v>
      </c>
      <c r="N53">
        <v>4</v>
      </c>
      <c r="O53">
        <v>0</v>
      </c>
      <c r="P53">
        <v>50373</v>
      </c>
      <c r="Q53">
        <v>0</v>
      </c>
      <c r="R53">
        <v>19</v>
      </c>
      <c r="S53" t="s">
        <v>44</v>
      </c>
      <c r="T53" t="s">
        <v>45</v>
      </c>
      <c r="U53">
        <v>2134</v>
      </c>
      <c r="V53" s="1">
        <v>29459</v>
      </c>
      <c r="W53" t="s">
        <v>46</v>
      </c>
      <c r="X53" t="s">
        <v>59</v>
      </c>
      <c r="Y53" t="s">
        <v>48</v>
      </c>
      <c r="Z53" t="s">
        <v>49</v>
      </c>
      <c r="AA53" t="s">
        <v>50</v>
      </c>
      <c r="AB53" s="1">
        <v>42557</v>
      </c>
      <c r="AD53" t="s">
        <v>51</v>
      </c>
      <c r="AE53" t="s">
        <v>52</v>
      </c>
      <c r="AF53" t="s">
        <v>53</v>
      </c>
      <c r="AG53" t="s">
        <v>90</v>
      </c>
      <c r="AH53">
        <v>12</v>
      </c>
      <c r="AI53" t="s">
        <v>87</v>
      </c>
      <c r="AJ53" t="s">
        <v>56</v>
      </c>
      <c r="AK53">
        <v>4.0999999999999996</v>
      </c>
      <c r="AL53">
        <v>4</v>
      </c>
      <c r="AM53">
        <v>0</v>
      </c>
      <c r="AN53" s="1">
        <v>43524</v>
      </c>
      <c r="AO53">
        <v>0</v>
      </c>
      <c r="AP53">
        <v>5</v>
      </c>
    </row>
    <row r="54" spans="1:42">
      <c r="A54" t="s">
        <v>177</v>
      </c>
      <c r="B54" t="str">
        <f t="shared" si="0"/>
        <v>James</v>
      </c>
      <c r="C54" t="str">
        <f t="shared" si="1"/>
        <v>Cockel</v>
      </c>
      <c r="D54">
        <f t="shared" ca="1" si="2"/>
        <v>12</v>
      </c>
      <c r="E54" t="str" cm="1">
        <f t="array" ref="E54">_xlfn.IFS(P54&lt;40000, "Low", P54&lt;70000, "MID", P54&lt;100000, "HIGH", P54&gt;=100000, "Executive")</f>
        <v>MID</v>
      </c>
      <c r="F54" t="str" cm="1">
        <f t="array" ref="F54">_xlfn.IFS(AJ54="Exceeds", "Top Performer", AJ54="Fully Meets", "Solid Performer", AJ54="Needs Improvement", "Underperformer", AJ54="PIP", "At Risk")</f>
        <v>Solid Performer</v>
      </c>
      <c r="G54" t="str" cm="1">
        <f t="array" ref="G54">_xlfn.IFS(AE54="Active", "Retained", AE54="Voluntarily Terminated", "Voluntary Exit", AE54="Terminated for Cause", "Involuntary Exit")</f>
        <v>Retained</v>
      </c>
      <c r="H54">
        <v>10261</v>
      </c>
      <c r="I54">
        <v>0</v>
      </c>
      <c r="J54">
        <v>0</v>
      </c>
      <c r="K54">
        <v>1</v>
      </c>
      <c r="L54">
        <v>1</v>
      </c>
      <c r="M54">
        <v>5</v>
      </c>
      <c r="N54">
        <v>3</v>
      </c>
      <c r="O54">
        <v>0</v>
      </c>
      <c r="P54">
        <v>63108</v>
      </c>
      <c r="Q54">
        <v>0</v>
      </c>
      <c r="R54">
        <v>19</v>
      </c>
      <c r="S54" t="s">
        <v>44</v>
      </c>
      <c r="T54" t="s">
        <v>45</v>
      </c>
      <c r="U54">
        <v>2452</v>
      </c>
      <c r="V54" s="1">
        <v>28376</v>
      </c>
      <c r="W54" t="s">
        <v>46</v>
      </c>
      <c r="X54" t="s">
        <v>47</v>
      </c>
      <c r="Y54" t="s">
        <v>48</v>
      </c>
      <c r="Z54" t="s">
        <v>49</v>
      </c>
      <c r="AA54" t="s">
        <v>50</v>
      </c>
      <c r="AB54" s="1">
        <v>41463</v>
      </c>
      <c r="AD54" t="s">
        <v>51</v>
      </c>
      <c r="AE54" t="s">
        <v>52</v>
      </c>
      <c r="AF54" t="s">
        <v>53</v>
      </c>
      <c r="AG54" t="s">
        <v>98</v>
      </c>
      <c r="AH54">
        <v>14</v>
      </c>
      <c r="AI54" t="s">
        <v>87</v>
      </c>
      <c r="AJ54" t="s">
        <v>65</v>
      </c>
      <c r="AK54">
        <v>4.4000000000000004</v>
      </c>
      <c r="AL54">
        <v>5</v>
      </c>
      <c r="AM54">
        <v>0</v>
      </c>
      <c r="AN54" s="1">
        <v>43479</v>
      </c>
      <c r="AO54">
        <v>0</v>
      </c>
      <c r="AP54">
        <v>3</v>
      </c>
    </row>
    <row r="55" spans="1:42">
      <c r="A55" t="s">
        <v>178</v>
      </c>
      <c r="B55" t="str">
        <f t="shared" si="0"/>
        <v>Spencer</v>
      </c>
      <c r="C55" t="str">
        <f t="shared" si="1"/>
        <v>Cole</v>
      </c>
      <c r="D55">
        <f t="shared" ca="1" si="2"/>
        <v>5</v>
      </c>
      <c r="E55" t="str" cm="1">
        <f t="array" ref="E55">_xlfn.IFS(P55&lt;40000, "Low", P55&lt;70000, "MID", P55&lt;100000, "HIGH", P55&gt;=100000, "Executive")</f>
        <v>MID</v>
      </c>
      <c r="F55" t="str" cm="1">
        <f t="array" ref="F55">_xlfn.IFS(AJ55="Exceeds", "Top Performer", AJ55="Fully Meets", "Solid Performer", AJ55="Needs Improvement", "Underperformer", AJ55="PIP", "At Risk")</f>
        <v>Underperformer</v>
      </c>
      <c r="G55" t="str" cm="1">
        <f t="array" ref="G55">_xlfn.IFS(AE55="Active", "Retained", AE55="Voluntarily Terminated", "Voluntary Exit", AE55="Terminated for Cause", "Involuntary Exit")</f>
        <v>Involuntary Exit</v>
      </c>
      <c r="H55">
        <v>10292</v>
      </c>
      <c r="I55">
        <v>0</v>
      </c>
      <c r="J55">
        <v>0</v>
      </c>
      <c r="K55">
        <v>1</v>
      </c>
      <c r="L55">
        <v>4</v>
      </c>
      <c r="M55">
        <v>5</v>
      </c>
      <c r="N55">
        <v>2</v>
      </c>
      <c r="O55">
        <v>0</v>
      </c>
      <c r="P55">
        <v>59144</v>
      </c>
      <c r="Q55">
        <v>1</v>
      </c>
      <c r="R55">
        <v>19</v>
      </c>
      <c r="S55" t="s">
        <v>44</v>
      </c>
      <c r="T55" t="s">
        <v>45</v>
      </c>
      <c r="U55">
        <v>1880</v>
      </c>
      <c r="V55" s="1">
        <v>29079</v>
      </c>
      <c r="W55" t="s">
        <v>46</v>
      </c>
      <c r="X55" t="s">
        <v>47</v>
      </c>
      <c r="Y55" t="s">
        <v>48</v>
      </c>
      <c r="Z55" t="s">
        <v>49</v>
      </c>
      <c r="AA55" t="s">
        <v>89</v>
      </c>
      <c r="AB55" s="1">
        <v>40735</v>
      </c>
      <c r="AC55" s="1">
        <v>42636</v>
      </c>
      <c r="AD55" t="s">
        <v>117</v>
      </c>
      <c r="AE55" t="s">
        <v>111</v>
      </c>
      <c r="AF55" t="s">
        <v>53</v>
      </c>
      <c r="AG55" t="s">
        <v>70</v>
      </c>
      <c r="AH55">
        <v>20</v>
      </c>
      <c r="AI55" t="s">
        <v>55</v>
      </c>
      <c r="AJ55" t="s">
        <v>125</v>
      </c>
      <c r="AK55">
        <v>2</v>
      </c>
      <c r="AL55">
        <v>3</v>
      </c>
      <c r="AM55">
        <v>0</v>
      </c>
      <c r="AN55" s="1">
        <v>42491</v>
      </c>
      <c r="AO55">
        <v>5</v>
      </c>
      <c r="AP55">
        <v>16</v>
      </c>
    </row>
    <row r="56" spans="1:42">
      <c r="A56" t="s">
        <v>179</v>
      </c>
      <c r="B56" t="str">
        <f t="shared" si="0"/>
        <v>Michael</v>
      </c>
      <c r="C56" t="str">
        <f t="shared" si="1"/>
        <v>Corleone</v>
      </c>
      <c r="D56">
        <f t="shared" ca="1" si="2"/>
        <v>15</v>
      </c>
      <c r="E56" t="str" cm="1">
        <f t="array" ref="E56">_xlfn.IFS(P56&lt;40000, "Low", P56&lt;70000, "MID", P56&lt;100000, "HIGH", P56&gt;=100000, "Executive")</f>
        <v>MID</v>
      </c>
      <c r="F56" t="str" cm="1">
        <f t="array" ref="F56">_xlfn.IFS(AJ56="Exceeds", "Top Performer", AJ56="Fully Meets", "Solid Performer", AJ56="Needs Improvement", "Underperformer", AJ56="PIP", "At Risk")</f>
        <v>Underperformer</v>
      </c>
      <c r="G56" t="str" cm="1">
        <f t="array" ref="G56">_xlfn.IFS(AE56="Active", "Retained", AE56="Voluntarily Terminated", "Voluntary Exit", AE56="Terminated for Cause", "Involuntary Exit")</f>
        <v>Retained</v>
      </c>
      <c r="H56">
        <v>10282</v>
      </c>
      <c r="I56">
        <v>0</v>
      </c>
      <c r="J56">
        <v>2</v>
      </c>
      <c r="K56">
        <v>1</v>
      </c>
      <c r="L56">
        <v>1</v>
      </c>
      <c r="M56">
        <v>5</v>
      </c>
      <c r="N56">
        <v>2</v>
      </c>
      <c r="O56">
        <v>0</v>
      </c>
      <c r="P56">
        <v>68051</v>
      </c>
      <c r="Q56">
        <v>0</v>
      </c>
      <c r="R56">
        <v>18</v>
      </c>
      <c r="S56" t="s">
        <v>136</v>
      </c>
      <c r="T56" t="s">
        <v>45</v>
      </c>
      <c r="U56">
        <v>1803</v>
      </c>
      <c r="V56" s="1">
        <v>27745</v>
      </c>
      <c r="W56" t="s">
        <v>46</v>
      </c>
      <c r="X56" t="s">
        <v>74</v>
      </c>
      <c r="Y56" t="s">
        <v>48</v>
      </c>
      <c r="Z56" t="s">
        <v>49</v>
      </c>
      <c r="AA56" t="s">
        <v>50</v>
      </c>
      <c r="AB56" s="1">
        <v>40379</v>
      </c>
      <c r="AD56" t="s">
        <v>51</v>
      </c>
      <c r="AE56" t="s">
        <v>52</v>
      </c>
      <c r="AF56" t="s">
        <v>53</v>
      </c>
      <c r="AG56" t="s">
        <v>138</v>
      </c>
      <c r="AH56">
        <v>2</v>
      </c>
      <c r="AI56" t="s">
        <v>124</v>
      </c>
      <c r="AJ56" t="s">
        <v>125</v>
      </c>
      <c r="AK56">
        <v>4.13</v>
      </c>
      <c r="AL56">
        <v>2</v>
      </c>
      <c r="AM56">
        <v>0</v>
      </c>
      <c r="AN56" s="1">
        <v>43479</v>
      </c>
      <c r="AO56">
        <v>3</v>
      </c>
      <c r="AP56">
        <v>3</v>
      </c>
    </row>
    <row r="57" spans="1:42">
      <c r="A57" t="s">
        <v>180</v>
      </c>
      <c r="B57" t="str">
        <f t="shared" si="0"/>
        <v>Vito</v>
      </c>
      <c r="C57" t="str">
        <f t="shared" si="1"/>
        <v>Corleone</v>
      </c>
      <c r="D57">
        <f t="shared" ca="1" si="2"/>
        <v>17</v>
      </c>
      <c r="E57" t="str" cm="1">
        <f t="array" ref="E57">_xlfn.IFS(P57&lt;40000, "Low", P57&lt;70000, "MID", P57&lt;100000, "HIGH", P57&gt;=100000, "Executive")</f>
        <v>Executive</v>
      </c>
      <c r="F57" t="str" cm="1">
        <f t="array" ref="F57">_xlfn.IFS(AJ57="Exceeds", "Top Performer", AJ57="Fully Meets", "Solid Performer", AJ57="Needs Improvement", "Underperformer", AJ57="PIP", "At Risk")</f>
        <v>Top Performer</v>
      </c>
      <c r="G57" t="str" cm="1">
        <f t="array" ref="G57">_xlfn.IFS(AE57="Active", "Retained", AE57="Voluntarily Terminated", "Voluntary Exit", AE57="Terminated for Cause", "Involuntary Exit")</f>
        <v>Retained</v>
      </c>
      <c r="H57">
        <v>10019</v>
      </c>
      <c r="I57">
        <v>0</v>
      </c>
      <c r="J57">
        <v>0</v>
      </c>
      <c r="K57">
        <v>1</v>
      </c>
      <c r="L57">
        <v>1</v>
      </c>
      <c r="M57">
        <v>5</v>
      </c>
      <c r="N57">
        <v>4</v>
      </c>
      <c r="O57">
        <v>0</v>
      </c>
      <c r="P57">
        <v>170500</v>
      </c>
      <c r="Q57">
        <v>0</v>
      </c>
      <c r="R57">
        <v>10</v>
      </c>
      <c r="S57" t="s">
        <v>181</v>
      </c>
      <c r="T57" t="s">
        <v>45</v>
      </c>
      <c r="U57">
        <v>2030</v>
      </c>
      <c r="V57" s="1">
        <v>30394</v>
      </c>
      <c r="W57" t="s">
        <v>46</v>
      </c>
      <c r="X57" t="s">
        <v>47</v>
      </c>
      <c r="Y57" t="s">
        <v>48</v>
      </c>
      <c r="Z57" t="s">
        <v>49</v>
      </c>
      <c r="AA57" t="s">
        <v>89</v>
      </c>
      <c r="AB57" s="1">
        <v>39818</v>
      </c>
      <c r="AD57" t="s">
        <v>51</v>
      </c>
      <c r="AE57" t="s">
        <v>52</v>
      </c>
      <c r="AF57" t="s">
        <v>53</v>
      </c>
      <c r="AG57" t="s">
        <v>138</v>
      </c>
      <c r="AH57">
        <v>2</v>
      </c>
      <c r="AI57" t="s">
        <v>64</v>
      </c>
      <c r="AJ57" t="s">
        <v>56</v>
      </c>
      <c r="AK57">
        <v>3.7</v>
      </c>
      <c r="AL57">
        <v>5</v>
      </c>
      <c r="AM57">
        <v>0</v>
      </c>
      <c r="AN57" s="1">
        <v>43500</v>
      </c>
      <c r="AO57">
        <v>0</v>
      </c>
      <c r="AP57">
        <v>15</v>
      </c>
    </row>
    <row r="58" spans="1:42">
      <c r="A58" t="s">
        <v>182</v>
      </c>
      <c r="B58" t="str">
        <f t="shared" si="0"/>
        <v>Lisa</v>
      </c>
      <c r="C58" t="str">
        <f t="shared" si="1"/>
        <v>Cornett</v>
      </c>
      <c r="D58">
        <f t="shared" ca="1" si="2"/>
        <v>11</v>
      </c>
      <c r="E58" t="str" cm="1">
        <f t="array" ref="E58">_xlfn.IFS(P58&lt;40000, "Low", P58&lt;70000, "MID", P58&lt;100000, "HIGH", P58&gt;=100000, "Executive")</f>
        <v>MID</v>
      </c>
      <c r="F58" t="str" cm="1">
        <f t="array" ref="F58">_xlfn.IFS(AJ58="Exceeds", "Top Performer", AJ58="Fully Meets", "Solid Performer", AJ58="Needs Improvement", "Underperformer", AJ58="PIP", "At Risk")</f>
        <v>Solid Performer</v>
      </c>
      <c r="G58" t="str" cm="1">
        <f t="array" ref="G58">_xlfn.IFS(AE58="Active", "Retained", AE58="Voluntarily Terminated", "Voluntary Exit", AE58="Terminated for Cause", "Involuntary Exit")</f>
        <v>Retained</v>
      </c>
      <c r="H58">
        <v>10094</v>
      </c>
      <c r="I58">
        <v>1</v>
      </c>
      <c r="J58">
        <v>1</v>
      </c>
      <c r="K58">
        <v>0</v>
      </c>
      <c r="L58">
        <v>1</v>
      </c>
      <c r="M58">
        <v>5</v>
      </c>
      <c r="N58">
        <v>3</v>
      </c>
      <c r="O58">
        <v>0</v>
      </c>
      <c r="P58">
        <v>63381</v>
      </c>
      <c r="Q58">
        <v>0</v>
      </c>
      <c r="R58">
        <v>19</v>
      </c>
      <c r="S58" t="s">
        <v>44</v>
      </c>
      <c r="T58" t="s">
        <v>45</v>
      </c>
      <c r="U58">
        <v>2189</v>
      </c>
      <c r="V58" s="1">
        <v>28215</v>
      </c>
      <c r="W58" t="s">
        <v>68</v>
      </c>
      <c r="X58" t="s">
        <v>59</v>
      </c>
      <c r="Y58" t="s">
        <v>48</v>
      </c>
      <c r="Z58" t="s">
        <v>96</v>
      </c>
      <c r="AA58" t="s">
        <v>50</v>
      </c>
      <c r="AB58" s="1">
        <v>42009</v>
      </c>
      <c r="AD58" t="s">
        <v>51</v>
      </c>
      <c r="AE58" t="s">
        <v>52</v>
      </c>
      <c r="AF58" t="s">
        <v>53</v>
      </c>
      <c r="AG58" t="s">
        <v>106</v>
      </c>
      <c r="AH58">
        <v>18</v>
      </c>
      <c r="AI58" t="s">
        <v>64</v>
      </c>
      <c r="AJ58" t="s">
        <v>65</v>
      </c>
      <c r="AK58">
        <v>4.7300000000000004</v>
      </c>
      <c r="AL58">
        <v>5</v>
      </c>
      <c r="AM58">
        <v>0</v>
      </c>
      <c r="AN58" s="1">
        <v>43510</v>
      </c>
      <c r="AO58">
        <v>0</v>
      </c>
      <c r="AP58">
        <v>6</v>
      </c>
    </row>
    <row r="59" spans="1:42">
      <c r="A59" t="s">
        <v>183</v>
      </c>
      <c r="B59" t="str">
        <f t="shared" si="0"/>
        <v>Frank</v>
      </c>
      <c r="C59" t="str">
        <f t="shared" si="1"/>
        <v>Costello</v>
      </c>
      <c r="D59">
        <f t="shared" ca="1" si="2"/>
        <v>11</v>
      </c>
      <c r="E59" t="str" cm="1">
        <f t="array" ref="E59">_xlfn.IFS(P59&lt;40000, "Low", P59&lt;70000, "MID", P59&lt;100000, "HIGH", P59&gt;=100000, "Executive")</f>
        <v>HIGH</v>
      </c>
      <c r="F59" t="str" cm="1">
        <f t="array" ref="F59">_xlfn.IFS(AJ59="Exceeds", "Top Performer", AJ59="Fully Meets", "Solid Performer", AJ59="Needs Improvement", "Underperformer", AJ59="PIP", "At Risk")</f>
        <v>Solid Performer</v>
      </c>
      <c r="G59" t="str" cm="1">
        <f t="array" ref="G59">_xlfn.IFS(AE59="Active", "Retained", AE59="Voluntarily Terminated", "Voluntary Exit", AE59="Terminated for Cause", "Involuntary Exit")</f>
        <v>Retained</v>
      </c>
      <c r="H59">
        <v>10193</v>
      </c>
      <c r="I59">
        <v>1</v>
      </c>
      <c r="J59">
        <v>1</v>
      </c>
      <c r="K59">
        <v>1</v>
      </c>
      <c r="L59">
        <v>1</v>
      </c>
      <c r="M59">
        <v>3</v>
      </c>
      <c r="N59">
        <v>3</v>
      </c>
      <c r="O59">
        <v>0</v>
      </c>
      <c r="P59">
        <v>83552</v>
      </c>
      <c r="Q59">
        <v>0</v>
      </c>
      <c r="R59">
        <v>9</v>
      </c>
      <c r="S59" t="s">
        <v>102</v>
      </c>
      <c r="T59" t="s">
        <v>45</v>
      </c>
      <c r="U59">
        <v>1810</v>
      </c>
      <c r="V59" s="1">
        <v>31650</v>
      </c>
      <c r="W59" t="s">
        <v>46</v>
      </c>
      <c r="X59" t="s">
        <v>59</v>
      </c>
      <c r="Y59" t="s">
        <v>48</v>
      </c>
      <c r="Z59" t="s">
        <v>49</v>
      </c>
      <c r="AA59" t="s">
        <v>50</v>
      </c>
      <c r="AB59" s="1">
        <v>42093</v>
      </c>
      <c r="AD59" t="s">
        <v>51</v>
      </c>
      <c r="AE59" t="s">
        <v>52</v>
      </c>
      <c r="AF59" t="s">
        <v>62</v>
      </c>
      <c r="AG59" t="s">
        <v>63</v>
      </c>
      <c r="AH59">
        <v>4</v>
      </c>
      <c r="AI59" t="s">
        <v>64</v>
      </c>
      <c r="AJ59" t="s">
        <v>65</v>
      </c>
      <c r="AK59">
        <v>3.04</v>
      </c>
      <c r="AL59">
        <v>3</v>
      </c>
      <c r="AM59">
        <v>6</v>
      </c>
      <c r="AN59" s="1">
        <v>43487</v>
      </c>
      <c r="AO59">
        <v>0</v>
      </c>
      <c r="AP59">
        <v>2</v>
      </c>
    </row>
    <row r="60" spans="1:42">
      <c r="A60" t="s">
        <v>184</v>
      </c>
      <c r="B60" t="str">
        <f t="shared" si="0"/>
        <v>Jean</v>
      </c>
      <c r="C60" t="str">
        <f t="shared" si="1"/>
        <v>Crimmings</v>
      </c>
      <c r="D60">
        <f t="shared" ca="1" si="2"/>
        <v>9</v>
      </c>
      <c r="E60" t="str" cm="1">
        <f t="array" ref="E60">_xlfn.IFS(P60&lt;40000, "Low", P60&lt;70000, "MID", P60&lt;100000, "HIGH", P60&gt;=100000, "Executive")</f>
        <v>MID</v>
      </c>
      <c r="F60" t="str" cm="1">
        <f t="array" ref="F60">_xlfn.IFS(AJ60="Exceeds", "Top Performer", AJ60="Fully Meets", "Solid Performer", AJ60="Needs Improvement", "Underperformer", AJ60="PIP", "At Risk")</f>
        <v>Solid Performer</v>
      </c>
      <c r="G60" t="str" cm="1">
        <f t="array" ref="G60">_xlfn.IFS(AE60="Active", "Retained", AE60="Voluntarily Terminated", "Voluntary Exit", AE60="Terminated for Cause", "Involuntary Exit")</f>
        <v>Retained</v>
      </c>
      <c r="H60">
        <v>10132</v>
      </c>
      <c r="I60">
        <v>0</v>
      </c>
      <c r="J60">
        <v>0</v>
      </c>
      <c r="K60">
        <v>0</v>
      </c>
      <c r="L60">
        <v>2</v>
      </c>
      <c r="M60">
        <v>5</v>
      </c>
      <c r="N60">
        <v>3</v>
      </c>
      <c r="O60">
        <v>0</v>
      </c>
      <c r="P60">
        <v>56149</v>
      </c>
      <c r="Q60">
        <v>0</v>
      </c>
      <c r="R60">
        <v>19</v>
      </c>
      <c r="S60" t="s">
        <v>44</v>
      </c>
      <c r="T60" t="s">
        <v>45</v>
      </c>
      <c r="U60">
        <v>1821</v>
      </c>
      <c r="V60" s="1">
        <v>31877</v>
      </c>
      <c r="W60" t="s">
        <v>68</v>
      </c>
      <c r="X60" t="s">
        <v>47</v>
      </c>
      <c r="Y60" t="s">
        <v>48</v>
      </c>
      <c r="Z60" t="s">
        <v>49</v>
      </c>
      <c r="AA60" t="s">
        <v>50</v>
      </c>
      <c r="AB60" s="1">
        <v>42557</v>
      </c>
      <c r="AD60" t="s">
        <v>51</v>
      </c>
      <c r="AE60" t="s">
        <v>52</v>
      </c>
      <c r="AF60" t="s">
        <v>53</v>
      </c>
      <c r="AG60" t="s">
        <v>54</v>
      </c>
      <c r="AH60">
        <v>22</v>
      </c>
      <c r="AI60" t="s">
        <v>55</v>
      </c>
      <c r="AJ60" t="s">
        <v>65</v>
      </c>
      <c r="AK60">
        <v>4.12</v>
      </c>
      <c r="AL60">
        <v>5</v>
      </c>
      <c r="AM60">
        <v>0</v>
      </c>
      <c r="AN60" s="1">
        <v>43493</v>
      </c>
      <c r="AO60">
        <v>0</v>
      </c>
      <c r="AP60">
        <v>15</v>
      </c>
    </row>
    <row r="61" spans="1:42">
      <c r="A61" t="s">
        <v>185</v>
      </c>
      <c r="B61" t="str">
        <f t="shared" si="0"/>
        <v>Noah</v>
      </c>
      <c r="C61" t="str">
        <f t="shared" si="1"/>
        <v>Cross</v>
      </c>
      <c r="D61">
        <f t="shared" ca="1" si="2"/>
        <v>11</v>
      </c>
      <c r="E61" t="str" cm="1">
        <f t="array" ref="E61">_xlfn.IFS(P61&lt;40000, "Low", P61&lt;70000, "MID", P61&lt;100000, "HIGH", P61&gt;=100000, "Executive")</f>
        <v>HIGH</v>
      </c>
      <c r="F61" t="str" cm="1">
        <f t="array" ref="F61">_xlfn.IFS(AJ61="Exceeds", "Top Performer", AJ61="Fully Meets", "Solid Performer", AJ61="Needs Improvement", "Underperformer", AJ61="PIP", "At Risk")</f>
        <v>Solid Performer</v>
      </c>
      <c r="G61" t="str" cm="1">
        <f t="array" ref="G61">_xlfn.IFS(AE61="Active", "Retained", AE61="Voluntarily Terminated", "Voluntary Exit", AE61="Terminated for Cause", "Involuntary Exit")</f>
        <v>Retained</v>
      </c>
      <c r="H61">
        <v>10083</v>
      </c>
      <c r="I61">
        <v>0</v>
      </c>
      <c r="J61">
        <v>0</v>
      </c>
      <c r="K61">
        <v>1</v>
      </c>
      <c r="L61">
        <v>1</v>
      </c>
      <c r="M61">
        <v>3</v>
      </c>
      <c r="N61">
        <v>3</v>
      </c>
      <c r="O61">
        <v>0</v>
      </c>
      <c r="P61">
        <v>92329</v>
      </c>
      <c r="Q61">
        <v>0</v>
      </c>
      <c r="R61">
        <v>28</v>
      </c>
      <c r="S61" t="s">
        <v>186</v>
      </c>
      <c r="T61" t="s">
        <v>129</v>
      </c>
      <c r="U61">
        <v>6278</v>
      </c>
      <c r="V61" s="1">
        <v>23994</v>
      </c>
      <c r="W61" t="s">
        <v>46</v>
      </c>
      <c r="X61" t="s">
        <v>47</v>
      </c>
      <c r="Y61" t="s">
        <v>48</v>
      </c>
      <c r="Z61" t="s">
        <v>49</v>
      </c>
      <c r="AA61" t="s">
        <v>50</v>
      </c>
      <c r="AB61" s="1">
        <v>41953</v>
      </c>
      <c r="AD61" t="s">
        <v>51</v>
      </c>
      <c r="AE61" t="s">
        <v>52</v>
      </c>
      <c r="AF61" t="s">
        <v>62</v>
      </c>
      <c r="AG61" t="s">
        <v>94</v>
      </c>
      <c r="AH61">
        <v>7</v>
      </c>
      <c r="AI61" t="s">
        <v>87</v>
      </c>
      <c r="AJ61" t="s">
        <v>65</v>
      </c>
      <c r="AK61">
        <v>5</v>
      </c>
      <c r="AL61">
        <v>3</v>
      </c>
      <c r="AM61">
        <v>4</v>
      </c>
      <c r="AN61" s="1">
        <v>43467</v>
      </c>
      <c r="AO61">
        <v>0</v>
      </c>
      <c r="AP61">
        <v>5</v>
      </c>
    </row>
    <row r="62" spans="1:42">
      <c r="A62" t="s">
        <v>187</v>
      </c>
      <c r="B62" t="str">
        <f t="shared" si="0"/>
        <v>Lynn</v>
      </c>
      <c r="C62" t="str">
        <f t="shared" si="1"/>
        <v>Daneault</v>
      </c>
      <c r="D62">
        <f t="shared" ca="1" si="2"/>
        <v>11</v>
      </c>
      <c r="E62" t="str" cm="1">
        <f t="array" ref="E62">_xlfn.IFS(P62&lt;40000, "Low", P62&lt;70000, "MID", P62&lt;100000, "HIGH", P62&gt;=100000, "Executive")</f>
        <v>MID</v>
      </c>
      <c r="F62" t="str" cm="1">
        <f t="array" ref="F62">_xlfn.IFS(AJ62="Exceeds", "Top Performer", AJ62="Fully Meets", "Solid Performer", AJ62="Needs Improvement", "Underperformer", AJ62="PIP", "At Risk")</f>
        <v>Solid Performer</v>
      </c>
      <c r="G62" t="str" cm="1">
        <f t="array" ref="G62">_xlfn.IFS(AE62="Active", "Retained", AE62="Voluntarily Terminated", "Voluntary Exit", AE62="Terminated for Cause", "Involuntary Exit")</f>
        <v>Retained</v>
      </c>
      <c r="H62">
        <v>10099</v>
      </c>
      <c r="I62">
        <v>0</v>
      </c>
      <c r="J62">
        <v>0</v>
      </c>
      <c r="K62">
        <v>0</v>
      </c>
      <c r="L62">
        <v>1</v>
      </c>
      <c r="M62">
        <v>6</v>
      </c>
      <c r="N62">
        <v>3</v>
      </c>
      <c r="O62">
        <v>0</v>
      </c>
      <c r="P62">
        <v>65729</v>
      </c>
      <c r="Q62">
        <v>0</v>
      </c>
      <c r="R62">
        <v>21</v>
      </c>
      <c r="S62" t="s">
        <v>188</v>
      </c>
      <c r="T62" t="s">
        <v>160</v>
      </c>
      <c r="U62">
        <v>5473</v>
      </c>
      <c r="V62" s="1">
        <v>32982</v>
      </c>
      <c r="W62" t="s">
        <v>68</v>
      </c>
      <c r="X62" t="s">
        <v>47</v>
      </c>
      <c r="Y62" t="s">
        <v>48</v>
      </c>
      <c r="Z62" t="s">
        <v>49</v>
      </c>
      <c r="AA62" t="s">
        <v>50</v>
      </c>
      <c r="AB62" s="1">
        <v>41764</v>
      </c>
      <c r="AD62" t="s">
        <v>51</v>
      </c>
      <c r="AE62" t="s">
        <v>52</v>
      </c>
      <c r="AF62" t="s">
        <v>148</v>
      </c>
      <c r="AG62" t="s">
        <v>189</v>
      </c>
      <c r="AH62">
        <v>15</v>
      </c>
      <c r="AI62" t="s">
        <v>64</v>
      </c>
      <c r="AJ62" t="s">
        <v>65</v>
      </c>
      <c r="AK62">
        <v>4.62</v>
      </c>
      <c r="AL62">
        <v>4</v>
      </c>
      <c r="AM62">
        <v>0</v>
      </c>
      <c r="AN62" s="1">
        <v>43489</v>
      </c>
      <c r="AO62">
        <v>0</v>
      </c>
      <c r="AP62">
        <v>8</v>
      </c>
    </row>
    <row r="63" spans="1:42">
      <c r="A63" t="s">
        <v>190</v>
      </c>
      <c r="B63" t="str">
        <f t="shared" si="0"/>
        <v>Ann</v>
      </c>
      <c r="C63" t="str">
        <f t="shared" si="1"/>
        <v>Daniele</v>
      </c>
      <c r="D63">
        <f t="shared" ca="1" si="2"/>
        <v>11</v>
      </c>
      <c r="E63" t="str" cm="1">
        <f t="array" ref="E63">_xlfn.IFS(P63&lt;40000, "Low", P63&lt;70000, "MID", P63&lt;100000, "HIGH", P63&gt;=100000, "Executive")</f>
        <v>HIGH</v>
      </c>
      <c r="F63" t="str" cm="1">
        <f t="array" ref="F63">_xlfn.IFS(AJ63="Exceeds", "Top Performer", AJ63="Fully Meets", "Solid Performer", AJ63="Needs Improvement", "Underperformer", AJ63="PIP", "At Risk")</f>
        <v>Solid Performer</v>
      </c>
      <c r="G63" t="str" cm="1">
        <f t="array" ref="G63">_xlfn.IFS(AE63="Active", "Retained", AE63="Voluntarily Terminated", "Voluntary Exit", AE63="Terminated for Cause", "Involuntary Exit")</f>
        <v>Retained</v>
      </c>
      <c r="H63">
        <v>10212</v>
      </c>
      <c r="I63">
        <v>1</v>
      </c>
      <c r="J63">
        <v>1</v>
      </c>
      <c r="K63">
        <v>0</v>
      </c>
      <c r="L63">
        <v>3</v>
      </c>
      <c r="M63">
        <v>3</v>
      </c>
      <c r="N63">
        <v>3</v>
      </c>
      <c r="O63">
        <v>0</v>
      </c>
      <c r="P63">
        <v>85028</v>
      </c>
      <c r="Q63">
        <v>0</v>
      </c>
      <c r="R63">
        <v>28</v>
      </c>
      <c r="S63" t="s">
        <v>186</v>
      </c>
      <c r="T63" t="s">
        <v>129</v>
      </c>
      <c r="U63">
        <v>6033</v>
      </c>
      <c r="V63" s="1">
        <v>19011</v>
      </c>
      <c r="W63" t="s">
        <v>68</v>
      </c>
      <c r="X63" t="s">
        <v>59</v>
      </c>
      <c r="Y63" t="s">
        <v>48</v>
      </c>
      <c r="Z63" t="s">
        <v>49</v>
      </c>
      <c r="AA63" t="s">
        <v>50</v>
      </c>
      <c r="AB63" s="1">
        <v>41953</v>
      </c>
      <c r="AD63" t="s">
        <v>51</v>
      </c>
      <c r="AE63" t="s">
        <v>52</v>
      </c>
      <c r="AF63" t="s">
        <v>62</v>
      </c>
      <c r="AG63" t="s">
        <v>94</v>
      </c>
      <c r="AH63">
        <v>7</v>
      </c>
      <c r="AI63" t="s">
        <v>55</v>
      </c>
      <c r="AJ63" t="s">
        <v>65</v>
      </c>
      <c r="AK63">
        <v>3.1</v>
      </c>
      <c r="AL63">
        <v>5</v>
      </c>
      <c r="AM63">
        <v>8</v>
      </c>
      <c r="AN63" s="1">
        <v>43508</v>
      </c>
      <c r="AO63">
        <v>0</v>
      </c>
      <c r="AP63">
        <v>19</v>
      </c>
    </row>
    <row r="64" spans="1:42">
      <c r="A64" t="s">
        <v>191</v>
      </c>
      <c r="B64" t="str">
        <f t="shared" si="0"/>
        <v>Jene'ya</v>
      </c>
      <c r="C64" t="str">
        <f t="shared" si="1"/>
        <v>Darson</v>
      </c>
      <c r="D64">
        <f t="shared" ca="1" si="2"/>
        <v>13</v>
      </c>
      <c r="E64" t="str" cm="1">
        <f t="array" ref="E64">_xlfn.IFS(P64&lt;40000, "Low", P64&lt;70000, "MID", P64&lt;100000, "HIGH", P64&gt;=100000, "Executive")</f>
        <v>MID</v>
      </c>
      <c r="F64" t="str" cm="1">
        <f t="array" ref="F64">_xlfn.IFS(AJ64="Exceeds", "Top Performer", AJ64="Fully Meets", "Solid Performer", AJ64="Needs Improvement", "Underperformer", AJ64="PIP", "At Risk")</f>
        <v>Solid Performer</v>
      </c>
      <c r="G64" t="str" cm="1">
        <f t="array" ref="G64">_xlfn.IFS(AE64="Active", "Retained", AE64="Voluntarily Terminated", "Voluntary Exit", AE64="Terminated for Cause", "Involuntary Exit")</f>
        <v>Retained</v>
      </c>
      <c r="H64">
        <v>10056</v>
      </c>
      <c r="I64">
        <v>1</v>
      </c>
      <c r="J64">
        <v>1</v>
      </c>
      <c r="K64">
        <v>0</v>
      </c>
      <c r="L64">
        <v>1</v>
      </c>
      <c r="M64">
        <v>5</v>
      </c>
      <c r="N64">
        <v>3</v>
      </c>
      <c r="O64">
        <v>0</v>
      </c>
      <c r="P64">
        <v>57583</v>
      </c>
      <c r="Q64">
        <v>0</v>
      </c>
      <c r="R64">
        <v>19</v>
      </c>
      <c r="S64" t="s">
        <v>44</v>
      </c>
      <c r="T64" t="s">
        <v>45</v>
      </c>
      <c r="U64">
        <v>2110</v>
      </c>
      <c r="V64" s="1">
        <v>28799</v>
      </c>
      <c r="W64" t="s">
        <v>68</v>
      </c>
      <c r="X64" t="s">
        <v>59</v>
      </c>
      <c r="Y64" t="s">
        <v>48</v>
      </c>
      <c r="Z64" t="s">
        <v>49</v>
      </c>
      <c r="AA64" t="s">
        <v>50</v>
      </c>
      <c r="AB64" s="1">
        <v>41092</v>
      </c>
      <c r="AD64" t="s">
        <v>51</v>
      </c>
      <c r="AE64" t="s">
        <v>52</v>
      </c>
      <c r="AF64" t="s">
        <v>53</v>
      </c>
      <c r="AG64" t="s">
        <v>72</v>
      </c>
      <c r="AH64">
        <v>16</v>
      </c>
      <c r="AI64" t="s">
        <v>64</v>
      </c>
      <c r="AJ64" t="s">
        <v>65</v>
      </c>
      <c r="AK64">
        <v>5</v>
      </c>
      <c r="AL64">
        <v>3</v>
      </c>
      <c r="AM64">
        <v>0</v>
      </c>
      <c r="AN64" s="1">
        <v>43521</v>
      </c>
      <c r="AO64">
        <v>0</v>
      </c>
      <c r="AP64">
        <v>1</v>
      </c>
    </row>
    <row r="65" spans="1:42">
      <c r="A65" t="s">
        <v>192</v>
      </c>
      <c r="B65" t="str">
        <f t="shared" si="0"/>
        <v>Daniel</v>
      </c>
      <c r="C65" t="str">
        <f t="shared" si="1"/>
        <v>Davis</v>
      </c>
      <c r="D65">
        <f t="shared" ca="1" si="2"/>
        <v>14</v>
      </c>
      <c r="E65" t="str" cm="1">
        <f t="array" ref="E65">_xlfn.IFS(P65&lt;40000, "Low", P65&lt;70000, "MID", P65&lt;100000, "HIGH", P65&gt;=100000, "Executive")</f>
        <v>MID</v>
      </c>
      <c r="F65" t="str" cm="1">
        <f t="array" ref="F65">_xlfn.IFS(AJ65="Exceeds", "Top Performer", AJ65="Fully Meets", "Solid Performer", AJ65="Needs Improvement", "Underperformer", AJ65="PIP", "At Risk")</f>
        <v>Solid Performer</v>
      </c>
      <c r="G65" t="str" cm="1">
        <f t="array" ref="G65">_xlfn.IFS(AE65="Active", "Retained", AE65="Voluntarily Terminated", "Voluntary Exit", AE65="Terminated for Cause", "Involuntary Exit")</f>
        <v>Retained</v>
      </c>
      <c r="H65">
        <v>10143</v>
      </c>
      <c r="I65">
        <v>0</v>
      </c>
      <c r="J65">
        <v>0</v>
      </c>
      <c r="K65">
        <v>1</v>
      </c>
      <c r="L65">
        <v>1</v>
      </c>
      <c r="M65">
        <v>5</v>
      </c>
      <c r="N65">
        <v>3</v>
      </c>
      <c r="O65">
        <v>0</v>
      </c>
      <c r="P65">
        <v>56294</v>
      </c>
      <c r="Q65">
        <v>0</v>
      </c>
      <c r="R65">
        <v>20</v>
      </c>
      <c r="S65" t="s">
        <v>67</v>
      </c>
      <c r="T65" t="s">
        <v>45</v>
      </c>
      <c r="U65">
        <v>2458</v>
      </c>
      <c r="V65" s="1">
        <v>29112</v>
      </c>
      <c r="W65" t="s">
        <v>46</v>
      </c>
      <c r="X65" t="s">
        <v>47</v>
      </c>
      <c r="Y65" t="s">
        <v>114</v>
      </c>
      <c r="Z65" t="s">
        <v>49</v>
      </c>
      <c r="AA65" t="s">
        <v>105</v>
      </c>
      <c r="AB65" s="1">
        <v>40854</v>
      </c>
      <c r="AD65" t="s">
        <v>51</v>
      </c>
      <c r="AE65" t="s">
        <v>52</v>
      </c>
      <c r="AF65" t="s">
        <v>53</v>
      </c>
      <c r="AG65" t="s">
        <v>70</v>
      </c>
      <c r="AH65">
        <v>20</v>
      </c>
      <c r="AI65" t="s">
        <v>55</v>
      </c>
      <c r="AJ65" t="s">
        <v>65</v>
      </c>
      <c r="AK65">
        <v>3.96</v>
      </c>
      <c r="AL65">
        <v>4</v>
      </c>
      <c r="AM65">
        <v>0</v>
      </c>
      <c r="AN65" s="1">
        <v>43523</v>
      </c>
      <c r="AO65">
        <v>0</v>
      </c>
      <c r="AP65">
        <v>6</v>
      </c>
    </row>
    <row r="66" spans="1:42">
      <c r="A66" t="s">
        <v>193</v>
      </c>
      <c r="B66" t="str">
        <f t="shared" si="0"/>
        <v>Randy</v>
      </c>
      <c r="C66" t="str">
        <f t="shared" si="1"/>
        <v>Dee</v>
      </c>
      <c r="D66">
        <f t="shared" ca="1" si="2"/>
        <v>7</v>
      </c>
      <c r="E66" t="str" cm="1">
        <f t="array" ref="E66">_xlfn.IFS(P66&lt;40000, "Low", P66&lt;70000, "MID", P66&lt;100000, "HIGH", P66&gt;=100000, "Executive")</f>
        <v>MID</v>
      </c>
      <c r="F66" t="str" cm="1">
        <f t="array" ref="F66">_xlfn.IFS(AJ66="Exceeds", "Top Performer", AJ66="Fully Meets", "Solid Performer", AJ66="Needs Improvement", "Underperformer", AJ66="PIP", "At Risk")</f>
        <v>Solid Performer</v>
      </c>
      <c r="G66" t="str" cm="1">
        <f t="array" ref="G66">_xlfn.IFS(AE66="Active", "Retained", AE66="Voluntarily Terminated", "Voluntary Exit", AE66="Terminated for Cause", "Involuntary Exit")</f>
        <v>Retained</v>
      </c>
      <c r="H66">
        <v>10311</v>
      </c>
      <c r="I66">
        <v>1</v>
      </c>
      <c r="J66">
        <v>1</v>
      </c>
      <c r="K66">
        <v>1</v>
      </c>
      <c r="L66">
        <v>1</v>
      </c>
      <c r="M66">
        <v>6</v>
      </c>
      <c r="N66">
        <v>1</v>
      </c>
      <c r="O66">
        <v>0</v>
      </c>
      <c r="P66">
        <v>56991</v>
      </c>
      <c r="Q66">
        <v>0</v>
      </c>
      <c r="R66">
        <v>19</v>
      </c>
      <c r="S66" t="s">
        <v>44</v>
      </c>
      <c r="T66" t="s">
        <v>45</v>
      </c>
      <c r="U66">
        <v>2138</v>
      </c>
      <c r="V66" s="1">
        <v>32248</v>
      </c>
      <c r="W66" t="s">
        <v>46</v>
      </c>
      <c r="X66" t="s">
        <v>59</v>
      </c>
      <c r="Y66" t="s">
        <v>48</v>
      </c>
      <c r="Z66" t="s">
        <v>49</v>
      </c>
      <c r="AA66" t="s">
        <v>50</v>
      </c>
      <c r="AB66" s="1">
        <v>43290</v>
      </c>
      <c r="AD66" t="s">
        <v>51</v>
      </c>
      <c r="AE66" t="s">
        <v>52</v>
      </c>
      <c r="AF66" t="s">
        <v>53</v>
      </c>
      <c r="AG66" t="s">
        <v>90</v>
      </c>
      <c r="AH66">
        <v>12</v>
      </c>
      <c r="AI66" t="s">
        <v>64</v>
      </c>
      <c r="AJ66" t="s">
        <v>65</v>
      </c>
      <c r="AK66">
        <v>4.3</v>
      </c>
      <c r="AL66">
        <v>4</v>
      </c>
      <c r="AM66">
        <v>3</v>
      </c>
      <c r="AN66" s="1">
        <v>43496</v>
      </c>
      <c r="AO66">
        <v>2</v>
      </c>
      <c r="AP66">
        <v>2</v>
      </c>
    </row>
    <row r="67" spans="1:42">
      <c r="A67" t="s">
        <v>194</v>
      </c>
      <c r="B67" t="str">
        <f t="shared" ref="B67:B130" si="3">TRIM(MID(A67, FIND(",", A67)+1, LEN(A67)))</f>
        <v>James</v>
      </c>
      <c r="C67" t="str">
        <f t="shared" ref="C67:C130" si="4">TRIM(LEFT(A67, FIND(",", A67)-1))</f>
        <v>DeGweck</v>
      </c>
      <c r="D67">
        <f t="shared" ref="D67:D130" ca="1" si="5">IFERROR(DATEDIF(AB67, AC67, "Y"), DATEDIF(AB67, TODAY(), "Y"))</f>
        <v>5</v>
      </c>
      <c r="E67" t="str" cm="1">
        <f t="array" ref="E67">_xlfn.IFS(P67&lt;40000, "Low", P67&lt;70000, "MID", P67&lt;100000, "HIGH", P67&gt;=100000, "Executive")</f>
        <v>MID</v>
      </c>
      <c r="F67" t="str" cm="1">
        <f t="array" ref="F67">_xlfn.IFS(AJ67="Exceeds", "Top Performer", AJ67="Fully Meets", "Solid Performer", AJ67="Needs Improvement", "Underperformer", AJ67="PIP", "At Risk")</f>
        <v>Solid Performer</v>
      </c>
      <c r="G67" t="str" cm="1">
        <f t="array" ref="G67">_xlfn.IFS(AE67="Active", "Retained", AE67="Voluntarily Terminated", "Voluntary Exit", AE67="Terminated for Cause", "Involuntary Exit")</f>
        <v>Voluntary Exit</v>
      </c>
      <c r="H67">
        <v>10070</v>
      </c>
      <c r="I67">
        <v>1</v>
      </c>
      <c r="J67">
        <v>1</v>
      </c>
      <c r="K67">
        <v>1</v>
      </c>
      <c r="L67">
        <v>5</v>
      </c>
      <c r="M67">
        <v>5</v>
      </c>
      <c r="N67">
        <v>3</v>
      </c>
      <c r="O67">
        <v>0</v>
      </c>
      <c r="P67">
        <v>55722</v>
      </c>
      <c r="Q67">
        <v>1</v>
      </c>
      <c r="R67">
        <v>19</v>
      </c>
      <c r="S67" t="s">
        <v>44</v>
      </c>
      <c r="T67" t="s">
        <v>45</v>
      </c>
      <c r="U67">
        <v>1810</v>
      </c>
      <c r="V67" s="1">
        <v>28429</v>
      </c>
      <c r="W67" t="s">
        <v>46</v>
      </c>
      <c r="X67" t="s">
        <v>59</v>
      </c>
      <c r="Y67" t="s">
        <v>48</v>
      </c>
      <c r="Z67" t="s">
        <v>49</v>
      </c>
      <c r="AA67" t="s">
        <v>50</v>
      </c>
      <c r="AB67" s="1">
        <v>40679</v>
      </c>
      <c r="AC67" s="1">
        <v>42529</v>
      </c>
      <c r="AD67" t="s">
        <v>100</v>
      </c>
      <c r="AE67" t="s">
        <v>61</v>
      </c>
      <c r="AF67" t="s">
        <v>53</v>
      </c>
      <c r="AG67" t="s">
        <v>76</v>
      </c>
      <c r="AH67">
        <v>39</v>
      </c>
      <c r="AI67" t="s">
        <v>64</v>
      </c>
      <c r="AJ67" t="s">
        <v>65</v>
      </c>
      <c r="AK67">
        <v>5</v>
      </c>
      <c r="AL67">
        <v>4</v>
      </c>
      <c r="AM67">
        <v>0</v>
      </c>
      <c r="AN67" s="1">
        <v>42462</v>
      </c>
      <c r="AO67">
        <v>0</v>
      </c>
      <c r="AP67">
        <v>14</v>
      </c>
    </row>
    <row r="68" spans="1:42">
      <c r="A68" t="s">
        <v>195</v>
      </c>
      <c r="B68" t="str">
        <f t="shared" si="3"/>
        <v>Keyla</v>
      </c>
      <c r="C68" t="str">
        <f t="shared" si="4"/>
        <v>Del Bosque</v>
      </c>
      <c r="D68">
        <f t="shared" ca="1" si="5"/>
        <v>14</v>
      </c>
      <c r="E68" t="str" cm="1">
        <f t="array" ref="E68">_xlfn.IFS(P68&lt;40000, "Low", P68&lt;70000, "MID", P68&lt;100000, "HIGH", P68&gt;=100000, "Executive")</f>
        <v>Executive</v>
      </c>
      <c r="F68" t="str" cm="1">
        <f t="array" ref="F68">_xlfn.IFS(AJ68="Exceeds", "Top Performer", AJ68="Fully Meets", "Solid Performer", AJ68="Needs Improvement", "Underperformer", AJ68="PIP", "At Risk")</f>
        <v>Solid Performer</v>
      </c>
      <c r="G68" t="str" cm="1">
        <f t="array" ref="G68">_xlfn.IFS(AE68="Active", "Retained", AE68="Voluntarily Terminated", "Voluntary Exit", AE68="Terminated for Cause", "Involuntary Exit")</f>
        <v>Retained</v>
      </c>
      <c r="H68">
        <v>10155</v>
      </c>
      <c r="I68">
        <v>0</v>
      </c>
      <c r="J68">
        <v>0</v>
      </c>
      <c r="K68">
        <v>0</v>
      </c>
      <c r="L68">
        <v>1</v>
      </c>
      <c r="M68">
        <v>4</v>
      </c>
      <c r="N68">
        <v>3</v>
      </c>
      <c r="O68">
        <v>0</v>
      </c>
      <c r="P68">
        <v>101199</v>
      </c>
      <c r="Q68">
        <v>0</v>
      </c>
      <c r="R68">
        <v>24</v>
      </c>
      <c r="S68" t="s">
        <v>81</v>
      </c>
      <c r="T68" t="s">
        <v>45</v>
      </c>
      <c r="U68">
        <v>2176</v>
      </c>
      <c r="V68" s="1">
        <v>29041</v>
      </c>
      <c r="W68" t="s">
        <v>68</v>
      </c>
      <c r="X68" t="s">
        <v>47</v>
      </c>
      <c r="Y68" t="s">
        <v>48</v>
      </c>
      <c r="Z68" t="s">
        <v>49</v>
      </c>
      <c r="AA68" t="s">
        <v>89</v>
      </c>
      <c r="AB68" s="1">
        <v>40917</v>
      </c>
      <c r="AD68" t="s">
        <v>51</v>
      </c>
      <c r="AE68" t="s">
        <v>52</v>
      </c>
      <c r="AF68" t="s">
        <v>82</v>
      </c>
      <c r="AG68" t="s">
        <v>83</v>
      </c>
      <c r="AH68">
        <v>10</v>
      </c>
      <c r="AI68" t="s">
        <v>124</v>
      </c>
      <c r="AJ68" t="s">
        <v>65</v>
      </c>
      <c r="AK68">
        <v>3.79</v>
      </c>
      <c r="AL68">
        <v>5</v>
      </c>
      <c r="AM68">
        <v>5</v>
      </c>
      <c r="AN68" s="1">
        <v>43490</v>
      </c>
      <c r="AO68">
        <v>0</v>
      </c>
      <c r="AP68">
        <v>8</v>
      </c>
    </row>
    <row r="69" spans="1:42">
      <c r="A69" t="s">
        <v>196</v>
      </c>
      <c r="B69" t="str">
        <f t="shared" si="3"/>
        <v>Alex</v>
      </c>
      <c r="C69" t="str">
        <f t="shared" si="4"/>
        <v>Delarge</v>
      </c>
      <c r="D69">
        <f t="shared" ca="1" si="5"/>
        <v>11</v>
      </c>
      <c r="E69" t="str" cm="1">
        <f t="array" ref="E69">_xlfn.IFS(P69&lt;40000, "Low", P69&lt;70000, "MID", P69&lt;100000, "HIGH", P69&gt;=100000, "Executive")</f>
        <v>MID</v>
      </c>
      <c r="F69" t="str" cm="1">
        <f t="array" ref="F69">_xlfn.IFS(AJ69="Exceeds", "Top Performer", AJ69="Fully Meets", "Solid Performer", AJ69="Needs Improvement", "Underperformer", AJ69="PIP", "At Risk")</f>
        <v>At Risk</v>
      </c>
      <c r="G69" t="str" cm="1">
        <f t="array" ref="G69">_xlfn.IFS(AE69="Active", "Retained", AE69="Voluntarily Terminated", "Voluntary Exit", AE69="Terminated for Cause", "Involuntary Exit")</f>
        <v>Retained</v>
      </c>
      <c r="H69">
        <v>10306</v>
      </c>
      <c r="I69">
        <v>0</v>
      </c>
      <c r="J69">
        <v>0</v>
      </c>
      <c r="K69">
        <v>1</v>
      </c>
      <c r="L69">
        <v>1</v>
      </c>
      <c r="M69">
        <v>6</v>
      </c>
      <c r="N69">
        <v>1</v>
      </c>
      <c r="O69">
        <v>0</v>
      </c>
      <c r="P69">
        <v>61568</v>
      </c>
      <c r="Q69">
        <v>0</v>
      </c>
      <c r="R69">
        <v>3</v>
      </c>
      <c r="S69" t="s">
        <v>146</v>
      </c>
      <c r="T69" t="s">
        <v>197</v>
      </c>
      <c r="U69">
        <v>36006</v>
      </c>
      <c r="V69" s="1">
        <v>27700</v>
      </c>
      <c r="W69" t="s">
        <v>46</v>
      </c>
      <c r="X69" t="s">
        <v>47</v>
      </c>
      <c r="Y69" t="s">
        <v>48</v>
      </c>
      <c r="Z69" t="s">
        <v>49</v>
      </c>
      <c r="AA69" t="s">
        <v>105</v>
      </c>
      <c r="AB69" s="1">
        <v>41911</v>
      </c>
      <c r="AD69" t="s">
        <v>51</v>
      </c>
      <c r="AE69" t="s">
        <v>52</v>
      </c>
      <c r="AF69" t="s">
        <v>148</v>
      </c>
      <c r="AG69" t="s">
        <v>149</v>
      </c>
      <c r="AH69">
        <v>17</v>
      </c>
      <c r="AI69" t="s">
        <v>64</v>
      </c>
      <c r="AJ69" t="s">
        <v>198</v>
      </c>
      <c r="AK69">
        <v>1.93</v>
      </c>
      <c r="AL69">
        <v>3</v>
      </c>
      <c r="AM69">
        <v>0</v>
      </c>
      <c r="AN69" s="1">
        <v>43495</v>
      </c>
      <c r="AO69">
        <v>6</v>
      </c>
      <c r="AP69">
        <v>5</v>
      </c>
    </row>
    <row r="70" spans="1:42">
      <c r="A70" t="s">
        <v>199</v>
      </c>
      <c r="B70" t="str">
        <f t="shared" si="3"/>
        <v>Carla</v>
      </c>
      <c r="C70" t="str">
        <f t="shared" si="4"/>
        <v>Demita</v>
      </c>
      <c r="D70">
        <f t="shared" ca="1" si="5"/>
        <v>4</v>
      </c>
      <c r="E70" t="str" cm="1">
        <f t="array" ref="E70">_xlfn.IFS(P70&lt;40000, "Low", P70&lt;70000, "MID", P70&lt;100000, "HIGH", P70&gt;=100000, "Executive")</f>
        <v>MID</v>
      </c>
      <c r="F70" t="str" cm="1">
        <f t="array" ref="F70">_xlfn.IFS(AJ70="Exceeds", "Top Performer", AJ70="Fully Meets", "Solid Performer", AJ70="Needs Improvement", "Underperformer", AJ70="PIP", "At Risk")</f>
        <v>Solid Performer</v>
      </c>
      <c r="G70" t="str" cm="1">
        <f t="array" ref="G70">_xlfn.IFS(AE70="Active", "Retained", AE70="Voluntarily Terminated", "Voluntary Exit", AE70="Terminated for Cause", "Involuntary Exit")</f>
        <v>Voluntary Exit</v>
      </c>
      <c r="H70">
        <v>10100</v>
      </c>
      <c r="I70">
        <v>0</v>
      </c>
      <c r="J70">
        <v>3</v>
      </c>
      <c r="K70">
        <v>0</v>
      </c>
      <c r="L70">
        <v>5</v>
      </c>
      <c r="M70">
        <v>5</v>
      </c>
      <c r="N70">
        <v>3</v>
      </c>
      <c r="O70">
        <v>0</v>
      </c>
      <c r="P70">
        <v>58275</v>
      </c>
      <c r="Q70">
        <v>1</v>
      </c>
      <c r="R70">
        <v>20</v>
      </c>
      <c r="S70" t="s">
        <v>67</v>
      </c>
      <c r="T70" t="s">
        <v>45</v>
      </c>
      <c r="U70">
        <v>2343</v>
      </c>
      <c r="V70" s="1">
        <v>18684</v>
      </c>
      <c r="W70" t="s">
        <v>68</v>
      </c>
      <c r="X70" t="s">
        <v>144</v>
      </c>
      <c r="Y70" t="s">
        <v>48</v>
      </c>
      <c r="Z70" t="s">
        <v>49</v>
      </c>
      <c r="AA70" t="s">
        <v>89</v>
      </c>
      <c r="AB70" s="1">
        <v>40637</v>
      </c>
      <c r="AC70" s="1">
        <v>42312</v>
      </c>
      <c r="AD70" t="s">
        <v>200</v>
      </c>
      <c r="AE70" t="s">
        <v>61</v>
      </c>
      <c r="AF70" t="s">
        <v>53</v>
      </c>
      <c r="AG70" t="s">
        <v>106</v>
      </c>
      <c r="AH70">
        <v>18</v>
      </c>
      <c r="AI70" t="s">
        <v>77</v>
      </c>
      <c r="AJ70" t="s">
        <v>65</v>
      </c>
      <c r="AK70">
        <v>4.62</v>
      </c>
      <c r="AL70">
        <v>5</v>
      </c>
      <c r="AM70">
        <v>0</v>
      </c>
      <c r="AN70" s="1">
        <v>42130</v>
      </c>
      <c r="AO70">
        <v>0</v>
      </c>
      <c r="AP70">
        <v>1</v>
      </c>
    </row>
    <row r="71" spans="1:42">
      <c r="A71" t="s">
        <v>201</v>
      </c>
      <c r="B71" t="str">
        <f t="shared" si="3"/>
        <v>Carl</v>
      </c>
      <c r="C71" t="str">
        <f t="shared" si="4"/>
        <v>Desimone</v>
      </c>
      <c r="D71">
        <f t="shared" ca="1" si="5"/>
        <v>11</v>
      </c>
      <c r="E71" t="str" cm="1">
        <f t="array" ref="E71">_xlfn.IFS(P71&lt;40000, "Low", P71&lt;70000, "MID", P71&lt;100000, "HIGH", P71&gt;=100000, "Executive")</f>
        <v>MID</v>
      </c>
      <c r="F71" t="str" cm="1">
        <f t="array" ref="F71">_xlfn.IFS(AJ71="Exceeds", "Top Performer", AJ71="Fully Meets", "Solid Performer", AJ71="Needs Improvement", "Underperformer", AJ71="PIP", "At Risk")</f>
        <v>At Risk</v>
      </c>
      <c r="G71" t="str" cm="1">
        <f t="array" ref="G71">_xlfn.IFS(AE71="Active", "Retained", AE71="Voluntarily Terminated", "Voluntary Exit", AE71="Terminated for Cause", "Involuntary Exit")</f>
        <v>Retained</v>
      </c>
      <c r="H71">
        <v>10310</v>
      </c>
      <c r="I71">
        <v>1</v>
      </c>
      <c r="J71">
        <v>1</v>
      </c>
      <c r="K71">
        <v>1</v>
      </c>
      <c r="L71">
        <v>1</v>
      </c>
      <c r="M71">
        <v>5</v>
      </c>
      <c r="N71">
        <v>1</v>
      </c>
      <c r="O71">
        <v>0</v>
      </c>
      <c r="P71">
        <v>53189</v>
      </c>
      <c r="Q71">
        <v>0</v>
      </c>
      <c r="R71">
        <v>19</v>
      </c>
      <c r="S71" t="s">
        <v>44</v>
      </c>
      <c r="T71" t="s">
        <v>45</v>
      </c>
      <c r="U71">
        <v>2061</v>
      </c>
      <c r="V71" s="1">
        <v>24581</v>
      </c>
      <c r="W71" t="s">
        <v>46</v>
      </c>
      <c r="X71" t="s">
        <v>59</v>
      </c>
      <c r="Y71" t="s">
        <v>48</v>
      </c>
      <c r="Z71" t="s">
        <v>49</v>
      </c>
      <c r="AA71" t="s">
        <v>50</v>
      </c>
      <c r="AB71" s="1">
        <v>41827</v>
      </c>
      <c r="AD71" t="s">
        <v>51</v>
      </c>
      <c r="AE71" t="s">
        <v>52</v>
      </c>
      <c r="AF71" t="s">
        <v>53</v>
      </c>
      <c r="AG71" t="s">
        <v>79</v>
      </c>
      <c r="AH71">
        <v>11</v>
      </c>
      <c r="AI71" t="s">
        <v>64</v>
      </c>
      <c r="AJ71" t="s">
        <v>198</v>
      </c>
      <c r="AK71">
        <v>1.1200000000000001</v>
      </c>
      <c r="AL71">
        <v>2</v>
      </c>
      <c r="AM71">
        <v>0</v>
      </c>
      <c r="AN71" s="1">
        <v>43496</v>
      </c>
      <c r="AO71">
        <v>4</v>
      </c>
      <c r="AP71">
        <v>9</v>
      </c>
    </row>
    <row r="72" spans="1:42">
      <c r="A72" t="s">
        <v>202</v>
      </c>
      <c r="B72" t="str">
        <f t="shared" si="3"/>
        <v>Tommy</v>
      </c>
      <c r="C72" t="str">
        <f t="shared" si="4"/>
        <v>DeVito</v>
      </c>
      <c r="D72">
        <f t="shared" ca="1" si="5"/>
        <v>9</v>
      </c>
      <c r="E72" t="str" cm="1">
        <f t="array" ref="E72">_xlfn.IFS(P72&lt;40000, "Low", P72&lt;70000, "MID", P72&lt;100000, "HIGH", P72&gt;=100000, "Executive")</f>
        <v>HIGH</v>
      </c>
      <c r="F72" t="str" cm="1">
        <f t="array" ref="F72">_xlfn.IFS(AJ72="Exceeds", "Top Performer", AJ72="Fully Meets", "Solid Performer", AJ72="Needs Improvement", "Underperformer", AJ72="PIP", "At Risk")</f>
        <v>Solid Performer</v>
      </c>
      <c r="G72" t="str" cm="1">
        <f t="array" ref="G72">_xlfn.IFS(AE72="Active", "Retained", AE72="Voluntarily Terminated", "Voluntary Exit", AE72="Terminated for Cause", "Involuntary Exit")</f>
        <v>Retained</v>
      </c>
      <c r="H72">
        <v>10197</v>
      </c>
      <c r="I72">
        <v>0</v>
      </c>
      <c r="J72">
        <v>0</v>
      </c>
      <c r="K72">
        <v>1</v>
      </c>
      <c r="L72">
        <v>1</v>
      </c>
      <c r="M72">
        <v>3</v>
      </c>
      <c r="N72">
        <v>3</v>
      </c>
      <c r="O72">
        <v>0</v>
      </c>
      <c r="P72">
        <v>96820</v>
      </c>
      <c r="Q72">
        <v>0</v>
      </c>
      <c r="R72">
        <v>4</v>
      </c>
      <c r="S72" t="s">
        <v>203</v>
      </c>
      <c r="T72" t="s">
        <v>45</v>
      </c>
      <c r="U72">
        <v>2045</v>
      </c>
      <c r="V72" s="1">
        <v>30563</v>
      </c>
      <c r="W72" t="s">
        <v>46</v>
      </c>
      <c r="X72" t="s">
        <v>47</v>
      </c>
      <c r="Y72" t="s">
        <v>48</v>
      </c>
      <c r="Z72" t="s">
        <v>49</v>
      </c>
      <c r="AA72" t="s">
        <v>50</v>
      </c>
      <c r="AB72" s="1">
        <v>42781</v>
      </c>
      <c r="AD72" t="s">
        <v>51</v>
      </c>
      <c r="AE72" t="s">
        <v>52</v>
      </c>
      <c r="AF72" t="s">
        <v>62</v>
      </c>
      <c r="AG72" t="s">
        <v>204</v>
      </c>
      <c r="AH72">
        <v>13</v>
      </c>
      <c r="AI72" t="s">
        <v>64</v>
      </c>
      <c r="AJ72" t="s">
        <v>65</v>
      </c>
      <c r="AK72">
        <v>3.01</v>
      </c>
      <c r="AL72">
        <v>5</v>
      </c>
      <c r="AM72">
        <v>7</v>
      </c>
      <c r="AN72" s="1">
        <v>43488</v>
      </c>
      <c r="AO72">
        <v>0</v>
      </c>
      <c r="AP72">
        <v>15</v>
      </c>
    </row>
    <row r="73" spans="1:42">
      <c r="A73" t="s">
        <v>205</v>
      </c>
      <c r="B73" t="str">
        <f t="shared" si="3"/>
        <v>Geoff</v>
      </c>
      <c r="C73" t="str">
        <f t="shared" si="4"/>
        <v>Dickinson</v>
      </c>
      <c r="D73">
        <f t="shared" ca="1" si="5"/>
        <v>11</v>
      </c>
      <c r="E73" t="str" cm="1">
        <f t="array" ref="E73">_xlfn.IFS(P73&lt;40000, "Low", P73&lt;70000, "MID", P73&lt;100000, "HIGH", P73&gt;=100000, "Executive")</f>
        <v>MID</v>
      </c>
      <c r="F73" t="str" cm="1">
        <f t="array" ref="F73">_xlfn.IFS(AJ73="Exceeds", "Top Performer", AJ73="Fully Meets", "Solid Performer", AJ73="Needs Improvement", "Underperformer", AJ73="PIP", "At Risk")</f>
        <v>Solid Performer</v>
      </c>
      <c r="G73" t="str" cm="1">
        <f t="array" ref="G73">_xlfn.IFS(AE73="Active", "Retained", AE73="Voluntarily Terminated", "Voluntary Exit", AE73="Terminated for Cause", "Involuntary Exit")</f>
        <v>Retained</v>
      </c>
      <c r="H73">
        <v>10276</v>
      </c>
      <c r="I73">
        <v>0</v>
      </c>
      <c r="J73">
        <v>0</v>
      </c>
      <c r="K73">
        <v>1</v>
      </c>
      <c r="L73">
        <v>1</v>
      </c>
      <c r="M73">
        <v>5</v>
      </c>
      <c r="N73">
        <v>3</v>
      </c>
      <c r="O73">
        <v>0</v>
      </c>
      <c r="P73">
        <v>51259</v>
      </c>
      <c r="Q73">
        <v>0</v>
      </c>
      <c r="R73">
        <v>19</v>
      </c>
      <c r="S73" t="s">
        <v>44</v>
      </c>
      <c r="T73" t="s">
        <v>45</v>
      </c>
      <c r="U73">
        <v>2180</v>
      </c>
      <c r="V73" s="1">
        <v>30270</v>
      </c>
      <c r="W73" t="s">
        <v>46</v>
      </c>
      <c r="X73" t="s">
        <v>47</v>
      </c>
      <c r="Y73" t="s">
        <v>48</v>
      </c>
      <c r="Z73" t="s">
        <v>49</v>
      </c>
      <c r="AA73" t="s">
        <v>50</v>
      </c>
      <c r="AB73" s="1">
        <v>41771</v>
      </c>
      <c r="AD73" t="s">
        <v>51</v>
      </c>
      <c r="AE73" t="s">
        <v>52</v>
      </c>
      <c r="AF73" t="s">
        <v>53</v>
      </c>
      <c r="AG73" t="s">
        <v>86</v>
      </c>
      <c r="AH73">
        <v>19</v>
      </c>
      <c r="AI73" t="s">
        <v>64</v>
      </c>
      <c r="AJ73" t="s">
        <v>65</v>
      </c>
      <c r="AK73">
        <v>4.3</v>
      </c>
      <c r="AL73">
        <v>4</v>
      </c>
      <c r="AM73">
        <v>0</v>
      </c>
      <c r="AN73" s="1">
        <v>43515</v>
      </c>
      <c r="AO73">
        <v>0</v>
      </c>
      <c r="AP73">
        <v>1</v>
      </c>
    </row>
    <row r="74" spans="1:42">
      <c r="A74" t="s">
        <v>206</v>
      </c>
      <c r="B74" t="str">
        <f t="shared" si="3"/>
        <v>Jenna</v>
      </c>
      <c r="C74" t="str">
        <f t="shared" si="4"/>
        <v>Dietrich</v>
      </c>
      <c r="D74">
        <f t="shared" ca="1" si="5"/>
        <v>14</v>
      </c>
      <c r="E74" t="str" cm="1">
        <f t="array" ref="E74">_xlfn.IFS(P74&lt;40000, "Low", P74&lt;70000, "MID", P74&lt;100000, "HIGH", P74&gt;=100000, "Executive")</f>
        <v>MID</v>
      </c>
      <c r="F74" t="str" cm="1">
        <f t="array" ref="F74">_xlfn.IFS(AJ74="Exceeds", "Top Performer", AJ74="Fully Meets", "Solid Performer", AJ74="Needs Improvement", "Underperformer", AJ74="PIP", "At Risk")</f>
        <v>At Risk</v>
      </c>
      <c r="G74" t="str" cm="1">
        <f t="array" ref="G74">_xlfn.IFS(AE74="Active", "Retained", AE74="Voluntarily Terminated", "Voluntary Exit", AE74="Terminated for Cause", "Involuntary Exit")</f>
        <v>Retained</v>
      </c>
      <c r="H74">
        <v>10304</v>
      </c>
      <c r="I74">
        <v>0</v>
      </c>
      <c r="J74">
        <v>0</v>
      </c>
      <c r="K74">
        <v>0</v>
      </c>
      <c r="L74">
        <v>1</v>
      </c>
      <c r="M74">
        <v>6</v>
      </c>
      <c r="N74">
        <v>1</v>
      </c>
      <c r="O74">
        <v>0</v>
      </c>
      <c r="P74">
        <v>59231</v>
      </c>
      <c r="Q74">
        <v>0</v>
      </c>
      <c r="R74">
        <v>3</v>
      </c>
      <c r="S74" t="s">
        <v>146</v>
      </c>
      <c r="T74" t="s">
        <v>207</v>
      </c>
      <c r="U74">
        <v>98052</v>
      </c>
      <c r="V74" s="1">
        <v>31911</v>
      </c>
      <c r="W74" t="s">
        <v>68</v>
      </c>
      <c r="X74" t="s">
        <v>47</v>
      </c>
      <c r="Y74" t="s">
        <v>48</v>
      </c>
      <c r="Z74" t="s">
        <v>96</v>
      </c>
      <c r="AA74" t="s">
        <v>50</v>
      </c>
      <c r="AB74" s="1">
        <v>40959</v>
      </c>
      <c r="AD74" t="s">
        <v>51</v>
      </c>
      <c r="AE74" t="s">
        <v>52</v>
      </c>
      <c r="AF74" t="s">
        <v>148</v>
      </c>
      <c r="AG74" t="s">
        <v>149</v>
      </c>
      <c r="AH74">
        <v>17</v>
      </c>
      <c r="AI74" t="s">
        <v>208</v>
      </c>
      <c r="AJ74" t="s">
        <v>198</v>
      </c>
      <c r="AK74">
        <v>2.2999999999999998</v>
      </c>
      <c r="AL74">
        <v>1</v>
      </c>
      <c r="AM74">
        <v>0</v>
      </c>
      <c r="AN74" s="1">
        <v>43494</v>
      </c>
      <c r="AO74">
        <v>2</v>
      </c>
      <c r="AP74">
        <v>17</v>
      </c>
    </row>
    <row r="75" spans="1:42">
      <c r="A75" t="s">
        <v>209</v>
      </c>
      <c r="B75" t="str">
        <f t="shared" si="3"/>
        <v>Lily</v>
      </c>
      <c r="C75" t="str">
        <f t="shared" si="4"/>
        <v>DiNocco</v>
      </c>
      <c r="D75">
        <f t="shared" ca="1" si="5"/>
        <v>13</v>
      </c>
      <c r="E75" t="str" cm="1">
        <f t="array" ref="E75">_xlfn.IFS(P75&lt;40000, "Low", P75&lt;70000, "MID", P75&lt;100000, "HIGH", P75&gt;=100000, "Executive")</f>
        <v>MID</v>
      </c>
      <c r="F75" t="str" cm="1">
        <f t="array" ref="F75">_xlfn.IFS(AJ75="Exceeds", "Top Performer", AJ75="Fully Meets", "Solid Performer", AJ75="Needs Improvement", "Underperformer", AJ75="PIP", "At Risk")</f>
        <v>Underperformer</v>
      </c>
      <c r="G75" t="str" cm="1">
        <f t="array" ref="G75">_xlfn.IFS(AE75="Active", "Retained", AE75="Voluntarily Terminated", "Voluntary Exit", AE75="Terminated for Cause", "Involuntary Exit")</f>
        <v>Retained</v>
      </c>
      <c r="H75">
        <v>10284</v>
      </c>
      <c r="I75">
        <v>1</v>
      </c>
      <c r="J75">
        <v>1</v>
      </c>
      <c r="K75">
        <v>0</v>
      </c>
      <c r="L75">
        <v>1</v>
      </c>
      <c r="M75">
        <v>5</v>
      </c>
      <c r="N75">
        <v>2</v>
      </c>
      <c r="O75">
        <v>0</v>
      </c>
      <c r="P75">
        <v>61584</v>
      </c>
      <c r="Q75">
        <v>0</v>
      </c>
      <c r="R75">
        <v>19</v>
      </c>
      <c r="S75" t="s">
        <v>44</v>
      </c>
      <c r="T75" t="s">
        <v>45</v>
      </c>
      <c r="U75">
        <v>2351</v>
      </c>
      <c r="V75" s="1">
        <v>28826</v>
      </c>
      <c r="W75" t="s">
        <v>68</v>
      </c>
      <c r="X75" t="s">
        <v>59</v>
      </c>
      <c r="Y75" t="s">
        <v>48</v>
      </c>
      <c r="Z75" t="s">
        <v>49</v>
      </c>
      <c r="AA75" t="s">
        <v>89</v>
      </c>
      <c r="AB75" s="1">
        <v>41281</v>
      </c>
      <c r="AD75" t="s">
        <v>51</v>
      </c>
      <c r="AE75" t="s">
        <v>52</v>
      </c>
      <c r="AF75" t="s">
        <v>53</v>
      </c>
      <c r="AG75" t="s">
        <v>90</v>
      </c>
      <c r="AH75">
        <v>12</v>
      </c>
      <c r="AI75" t="s">
        <v>64</v>
      </c>
      <c r="AJ75" t="s">
        <v>125</v>
      </c>
      <c r="AK75">
        <v>3.88</v>
      </c>
      <c r="AL75">
        <v>4</v>
      </c>
      <c r="AM75">
        <v>0</v>
      </c>
      <c r="AN75" s="1">
        <v>43483</v>
      </c>
      <c r="AO75">
        <v>0</v>
      </c>
      <c r="AP75">
        <v>6</v>
      </c>
    </row>
    <row r="76" spans="1:42">
      <c r="A76" t="s">
        <v>210</v>
      </c>
      <c r="B76" t="str">
        <f t="shared" si="3"/>
        <v>Denisa S</v>
      </c>
      <c r="C76" t="str">
        <f t="shared" si="4"/>
        <v>Dobrin</v>
      </c>
      <c r="D76">
        <f t="shared" ca="1" si="5"/>
        <v>14</v>
      </c>
      <c r="E76" t="str" cm="1">
        <f t="array" ref="E76">_xlfn.IFS(P76&lt;40000, "Low", P76&lt;70000, "MID", P76&lt;100000, "HIGH", P76&gt;=100000, "Executive")</f>
        <v>MID</v>
      </c>
      <c r="F76" t="str" cm="1">
        <f t="array" ref="F76">_xlfn.IFS(AJ76="Exceeds", "Top Performer", AJ76="Fully Meets", "Solid Performer", AJ76="Needs Improvement", "Underperformer", AJ76="PIP", "At Risk")</f>
        <v>Solid Performer</v>
      </c>
      <c r="G76" t="str" cm="1">
        <f t="array" ref="G76">_xlfn.IFS(AE76="Active", "Retained", AE76="Voluntarily Terminated", "Voluntary Exit", AE76="Terminated for Cause", "Involuntary Exit")</f>
        <v>Retained</v>
      </c>
      <c r="H76">
        <v>10207</v>
      </c>
      <c r="I76">
        <v>0</v>
      </c>
      <c r="J76">
        <v>0</v>
      </c>
      <c r="K76">
        <v>0</v>
      </c>
      <c r="L76">
        <v>1</v>
      </c>
      <c r="M76">
        <v>5</v>
      </c>
      <c r="N76">
        <v>3</v>
      </c>
      <c r="O76">
        <v>0</v>
      </c>
      <c r="P76">
        <v>46335</v>
      </c>
      <c r="Q76">
        <v>0</v>
      </c>
      <c r="R76">
        <v>19</v>
      </c>
      <c r="S76" t="s">
        <v>44</v>
      </c>
      <c r="T76" t="s">
        <v>45</v>
      </c>
      <c r="U76">
        <v>2125</v>
      </c>
      <c r="V76" s="1">
        <v>31692</v>
      </c>
      <c r="W76" t="s">
        <v>68</v>
      </c>
      <c r="X76" t="s">
        <v>47</v>
      </c>
      <c r="Y76" t="s">
        <v>48</v>
      </c>
      <c r="Z76" t="s">
        <v>96</v>
      </c>
      <c r="AA76" t="s">
        <v>50</v>
      </c>
      <c r="AB76" s="1">
        <v>41001</v>
      </c>
      <c r="AD76" t="s">
        <v>51</v>
      </c>
      <c r="AE76" t="s">
        <v>52</v>
      </c>
      <c r="AF76" t="s">
        <v>53</v>
      </c>
      <c r="AG76" t="s">
        <v>98</v>
      </c>
      <c r="AH76">
        <v>14</v>
      </c>
      <c r="AI76" t="s">
        <v>124</v>
      </c>
      <c r="AJ76" t="s">
        <v>65</v>
      </c>
      <c r="AK76">
        <v>3.4</v>
      </c>
      <c r="AL76">
        <v>5</v>
      </c>
      <c r="AM76">
        <v>0</v>
      </c>
      <c r="AN76" s="1">
        <v>43515</v>
      </c>
      <c r="AO76">
        <v>0</v>
      </c>
      <c r="AP76">
        <v>15</v>
      </c>
    </row>
    <row r="77" spans="1:42">
      <c r="A77" t="s">
        <v>211</v>
      </c>
      <c r="B77" t="str">
        <f t="shared" si="3"/>
        <v>Linda</v>
      </c>
      <c r="C77" t="str">
        <f t="shared" si="4"/>
        <v>Dolan</v>
      </c>
      <c r="D77">
        <f t="shared" ca="1" si="5"/>
        <v>11</v>
      </c>
      <c r="E77" t="str" cm="1">
        <f t="array" ref="E77">_xlfn.IFS(P77&lt;40000, "Low", P77&lt;70000, "MID", P77&lt;100000, "HIGH", P77&gt;=100000, "Executive")</f>
        <v>HIGH</v>
      </c>
      <c r="F77" t="str" cm="1">
        <f t="array" ref="F77">_xlfn.IFS(AJ77="Exceeds", "Top Performer", AJ77="Fully Meets", "Solid Performer", AJ77="Needs Improvement", "Underperformer", AJ77="PIP", "At Risk")</f>
        <v>Solid Performer</v>
      </c>
      <c r="G77" t="str" cm="1">
        <f t="array" ref="G77">_xlfn.IFS(AE77="Active", "Retained", AE77="Voluntarily Terminated", "Voluntary Exit", AE77="Terminated for Cause", "Involuntary Exit")</f>
        <v>Retained</v>
      </c>
      <c r="H77">
        <v>10133</v>
      </c>
      <c r="I77">
        <v>1</v>
      </c>
      <c r="J77">
        <v>1</v>
      </c>
      <c r="K77">
        <v>0</v>
      </c>
      <c r="L77">
        <v>1</v>
      </c>
      <c r="M77">
        <v>3</v>
      </c>
      <c r="N77">
        <v>3</v>
      </c>
      <c r="O77">
        <v>0</v>
      </c>
      <c r="P77">
        <v>70621</v>
      </c>
      <c r="Q77">
        <v>0</v>
      </c>
      <c r="R77">
        <v>14</v>
      </c>
      <c r="S77" t="s">
        <v>93</v>
      </c>
      <c r="T77" t="s">
        <v>45</v>
      </c>
      <c r="U77">
        <v>2119</v>
      </c>
      <c r="V77" s="1">
        <v>32342</v>
      </c>
      <c r="W77" t="s">
        <v>68</v>
      </c>
      <c r="X77" t="s">
        <v>59</v>
      </c>
      <c r="Y77" t="s">
        <v>48</v>
      </c>
      <c r="Z77" t="s">
        <v>49</v>
      </c>
      <c r="AA77" t="s">
        <v>50</v>
      </c>
      <c r="AB77" s="1">
        <v>42009</v>
      </c>
      <c r="AD77" t="s">
        <v>51</v>
      </c>
      <c r="AE77" t="s">
        <v>52</v>
      </c>
      <c r="AF77" t="s">
        <v>62</v>
      </c>
      <c r="AG77" t="s">
        <v>94</v>
      </c>
      <c r="AH77">
        <v>7</v>
      </c>
      <c r="AI77" t="s">
        <v>87</v>
      </c>
      <c r="AJ77" t="s">
        <v>65</v>
      </c>
      <c r="AK77">
        <v>4.1100000000000003</v>
      </c>
      <c r="AL77">
        <v>4</v>
      </c>
      <c r="AM77">
        <v>6</v>
      </c>
      <c r="AN77" s="1">
        <v>43521</v>
      </c>
      <c r="AO77">
        <v>0</v>
      </c>
      <c r="AP77">
        <v>16</v>
      </c>
    </row>
    <row r="78" spans="1:42">
      <c r="A78" t="s">
        <v>212</v>
      </c>
      <c r="B78" t="str">
        <f t="shared" si="3"/>
        <v>Eric</v>
      </c>
      <c r="C78" t="str">
        <f t="shared" si="4"/>
        <v>Dougall</v>
      </c>
      <c r="D78">
        <f t="shared" ca="1" si="5"/>
        <v>12</v>
      </c>
      <c r="E78" t="str" cm="1">
        <f t="array" ref="E78">_xlfn.IFS(P78&lt;40000, "Low", P78&lt;70000, "MID", P78&lt;100000, "HIGH", P78&gt;=100000, "Executive")</f>
        <v>Executive</v>
      </c>
      <c r="F78" t="str" cm="1">
        <f t="array" ref="F78">_xlfn.IFS(AJ78="Exceeds", "Top Performer", AJ78="Fully Meets", "Solid Performer", AJ78="Needs Improvement", "Underperformer", AJ78="PIP", "At Risk")</f>
        <v>Top Performer</v>
      </c>
      <c r="G78" t="str" cm="1">
        <f t="array" ref="G78">_xlfn.IFS(AE78="Active", "Retained", AE78="Voluntarily Terminated", "Voluntary Exit", AE78="Terminated for Cause", "Involuntary Exit")</f>
        <v>Retained</v>
      </c>
      <c r="H78">
        <v>10028</v>
      </c>
      <c r="I78">
        <v>0</v>
      </c>
      <c r="J78">
        <v>0</v>
      </c>
      <c r="K78">
        <v>1</v>
      </c>
      <c r="L78">
        <v>1</v>
      </c>
      <c r="M78">
        <v>3</v>
      </c>
      <c r="N78">
        <v>4</v>
      </c>
      <c r="O78">
        <v>0</v>
      </c>
      <c r="P78">
        <v>138888</v>
      </c>
      <c r="Q78">
        <v>0</v>
      </c>
      <c r="R78">
        <v>13</v>
      </c>
      <c r="S78" t="s">
        <v>213</v>
      </c>
      <c r="T78" t="s">
        <v>45</v>
      </c>
      <c r="U78">
        <v>1886</v>
      </c>
      <c r="V78" s="1">
        <v>25758</v>
      </c>
      <c r="W78" t="s">
        <v>46</v>
      </c>
      <c r="X78" t="s">
        <v>47</v>
      </c>
      <c r="Y78" t="s">
        <v>48</v>
      </c>
      <c r="Z78" t="s">
        <v>49</v>
      </c>
      <c r="AA78" t="s">
        <v>89</v>
      </c>
      <c r="AB78" s="1">
        <v>41644</v>
      </c>
      <c r="AD78" t="s">
        <v>51</v>
      </c>
      <c r="AE78" t="s">
        <v>52</v>
      </c>
      <c r="AF78" t="s">
        <v>62</v>
      </c>
      <c r="AG78" t="s">
        <v>154</v>
      </c>
      <c r="AH78">
        <v>5</v>
      </c>
      <c r="AI78" t="s">
        <v>64</v>
      </c>
      <c r="AJ78" t="s">
        <v>56</v>
      </c>
      <c r="AK78">
        <v>4.3</v>
      </c>
      <c r="AL78">
        <v>5</v>
      </c>
      <c r="AM78">
        <v>5</v>
      </c>
      <c r="AN78" s="1">
        <v>43469</v>
      </c>
      <c r="AO78">
        <v>0</v>
      </c>
      <c r="AP78">
        <v>4</v>
      </c>
    </row>
    <row r="79" spans="1:42">
      <c r="A79" t="s">
        <v>214</v>
      </c>
      <c r="B79" t="str">
        <f t="shared" si="3"/>
        <v>Elle</v>
      </c>
      <c r="C79" t="str">
        <f t="shared" si="4"/>
        <v>Driver</v>
      </c>
      <c r="D79">
        <f t="shared" ca="1" si="5"/>
        <v>15</v>
      </c>
      <c r="E79" t="str" cm="1">
        <f t="array" ref="E79">_xlfn.IFS(P79&lt;40000, "Low", P79&lt;70000, "MID", P79&lt;100000, "HIGH", P79&gt;=100000, "Executive")</f>
        <v>HIGH</v>
      </c>
      <c r="F79" t="str" cm="1">
        <f t="array" ref="F79">_xlfn.IFS(AJ79="Exceeds", "Top Performer", AJ79="Fully Meets", "Solid Performer", AJ79="Needs Improvement", "Underperformer", AJ79="PIP", "At Risk")</f>
        <v>Top Performer</v>
      </c>
      <c r="G79" t="str" cm="1">
        <f t="array" ref="G79">_xlfn.IFS(AE79="Active", "Retained", AE79="Voluntarily Terminated", "Voluntary Exit", AE79="Terminated for Cause", "Involuntary Exit")</f>
        <v>Retained</v>
      </c>
      <c r="H79">
        <v>10006</v>
      </c>
      <c r="I79">
        <v>0</v>
      </c>
      <c r="J79">
        <v>0</v>
      </c>
      <c r="K79">
        <v>0</v>
      </c>
      <c r="L79">
        <v>1</v>
      </c>
      <c r="M79">
        <v>6</v>
      </c>
      <c r="N79">
        <v>4</v>
      </c>
      <c r="O79">
        <v>0</v>
      </c>
      <c r="P79">
        <v>74241</v>
      </c>
      <c r="Q79">
        <v>0</v>
      </c>
      <c r="R79">
        <v>3</v>
      </c>
      <c r="S79" t="s">
        <v>146</v>
      </c>
      <c r="T79" t="s">
        <v>215</v>
      </c>
      <c r="U79">
        <v>90007</v>
      </c>
      <c r="V79" s="1">
        <v>32455</v>
      </c>
      <c r="W79" t="s">
        <v>68</v>
      </c>
      <c r="X79" t="s">
        <v>47</v>
      </c>
      <c r="Y79" t="s">
        <v>48</v>
      </c>
      <c r="Z79" t="s">
        <v>49</v>
      </c>
      <c r="AA79" t="s">
        <v>50</v>
      </c>
      <c r="AB79" s="1">
        <v>40553</v>
      </c>
      <c r="AD79" t="s">
        <v>51</v>
      </c>
      <c r="AE79" t="s">
        <v>52</v>
      </c>
      <c r="AF79" t="s">
        <v>148</v>
      </c>
      <c r="AG79" t="s">
        <v>167</v>
      </c>
      <c r="AH79">
        <v>21</v>
      </c>
      <c r="AI79" t="s">
        <v>64</v>
      </c>
      <c r="AJ79" t="s">
        <v>56</v>
      </c>
      <c r="AK79">
        <v>4.7699999999999996</v>
      </c>
      <c r="AL79">
        <v>5</v>
      </c>
      <c r="AM79">
        <v>0</v>
      </c>
      <c r="AN79" s="1">
        <v>43492</v>
      </c>
      <c r="AO79">
        <v>0</v>
      </c>
      <c r="AP79">
        <v>14</v>
      </c>
    </row>
    <row r="80" spans="1:42">
      <c r="A80" t="s">
        <v>216</v>
      </c>
      <c r="B80" t="str">
        <f t="shared" si="3"/>
        <v>Amy</v>
      </c>
      <c r="C80" t="str">
        <f t="shared" si="4"/>
        <v>Dunn</v>
      </c>
      <c r="D80">
        <f t="shared" ca="1" si="5"/>
        <v>11</v>
      </c>
      <c r="E80" t="str" cm="1">
        <f t="array" ref="E80">_xlfn.IFS(P80&lt;40000, "Low", P80&lt;70000, "MID", P80&lt;100000, "HIGH", P80&gt;=100000, "Executive")</f>
        <v>HIGH</v>
      </c>
      <c r="F80" t="str" cm="1">
        <f t="array" ref="F80">_xlfn.IFS(AJ80="Exceeds", "Top Performer", AJ80="Fully Meets", "Solid Performer", AJ80="Needs Improvement", "Underperformer", AJ80="PIP", "At Risk")</f>
        <v>Solid Performer</v>
      </c>
      <c r="G80" t="str" cm="1">
        <f t="array" ref="G80">_xlfn.IFS(AE80="Active", "Retained", AE80="Voluntarily Terminated", "Voluntary Exit", AE80="Terminated for Cause", "Involuntary Exit")</f>
        <v>Retained</v>
      </c>
      <c r="H80">
        <v>10105</v>
      </c>
      <c r="I80">
        <v>0</v>
      </c>
      <c r="J80">
        <v>0</v>
      </c>
      <c r="K80">
        <v>0</v>
      </c>
      <c r="L80">
        <v>1</v>
      </c>
      <c r="M80">
        <v>5</v>
      </c>
      <c r="N80">
        <v>3</v>
      </c>
      <c r="O80">
        <v>0</v>
      </c>
      <c r="P80">
        <v>75188</v>
      </c>
      <c r="Q80">
        <v>0</v>
      </c>
      <c r="R80">
        <v>18</v>
      </c>
      <c r="S80" t="s">
        <v>136</v>
      </c>
      <c r="T80" t="s">
        <v>45</v>
      </c>
      <c r="U80">
        <v>1731</v>
      </c>
      <c r="V80" s="1">
        <v>26996</v>
      </c>
      <c r="W80" t="s">
        <v>68</v>
      </c>
      <c r="X80" t="s">
        <v>47</v>
      </c>
      <c r="Y80" t="s">
        <v>48</v>
      </c>
      <c r="Z80" t="s">
        <v>49</v>
      </c>
      <c r="AA80" t="s">
        <v>50</v>
      </c>
      <c r="AB80" s="1">
        <v>41900</v>
      </c>
      <c r="AD80" t="s">
        <v>51</v>
      </c>
      <c r="AE80" t="s">
        <v>52</v>
      </c>
      <c r="AF80" t="s">
        <v>53</v>
      </c>
      <c r="AG80" t="s">
        <v>138</v>
      </c>
      <c r="AH80">
        <v>2</v>
      </c>
      <c r="AI80" t="s">
        <v>77</v>
      </c>
      <c r="AJ80" t="s">
        <v>65</v>
      </c>
      <c r="AK80">
        <v>4.5199999999999996</v>
      </c>
      <c r="AL80">
        <v>4</v>
      </c>
      <c r="AM80">
        <v>0</v>
      </c>
      <c r="AN80" s="1">
        <v>43480</v>
      </c>
      <c r="AO80">
        <v>0</v>
      </c>
      <c r="AP80">
        <v>4</v>
      </c>
    </row>
    <row r="81" spans="1:42">
      <c r="A81" t="s">
        <v>217</v>
      </c>
      <c r="B81" t="str">
        <f t="shared" si="3"/>
        <v>Amy</v>
      </c>
      <c r="C81" t="str">
        <f t="shared" si="4"/>
        <v>Dunne</v>
      </c>
      <c r="D81">
        <f t="shared" ca="1" si="5"/>
        <v>15</v>
      </c>
      <c r="E81" t="str" cm="1">
        <f t="array" ref="E81">_xlfn.IFS(P81&lt;40000, "Low", P81&lt;70000, "MID", P81&lt;100000, "HIGH", P81&gt;=100000, "Executive")</f>
        <v>MID</v>
      </c>
      <c r="F81" t="str" cm="1">
        <f t="array" ref="F81">_xlfn.IFS(AJ81="Exceeds", "Top Performer", AJ81="Fully Meets", "Solid Performer", AJ81="Needs Improvement", "Underperformer", AJ81="PIP", "At Risk")</f>
        <v>Solid Performer</v>
      </c>
      <c r="G81" t="str" cm="1">
        <f t="array" ref="G81">_xlfn.IFS(AE81="Active", "Retained", AE81="Voluntarily Terminated", "Voluntary Exit", AE81="Terminated for Cause", "Involuntary Exit")</f>
        <v>Retained</v>
      </c>
      <c r="H81">
        <v>10211</v>
      </c>
      <c r="I81">
        <v>1</v>
      </c>
      <c r="J81">
        <v>1</v>
      </c>
      <c r="K81">
        <v>0</v>
      </c>
      <c r="L81">
        <v>1</v>
      </c>
      <c r="M81">
        <v>5</v>
      </c>
      <c r="N81">
        <v>3</v>
      </c>
      <c r="O81">
        <v>0</v>
      </c>
      <c r="P81">
        <v>62514</v>
      </c>
      <c r="Q81">
        <v>0</v>
      </c>
      <c r="R81">
        <v>19</v>
      </c>
      <c r="S81" t="s">
        <v>44</v>
      </c>
      <c r="T81" t="s">
        <v>45</v>
      </c>
      <c r="U81">
        <v>1749</v>
      </c>
      <c r="V81" s="1">
        <v>26930</v>
      </c>
      <c r="W81" t="s">
        <v>68</v>
      </c>
      <c r="X81" t="s">
        <v>59</v>
      </c>
      <c r="Y81" t="s">
        <v>48</v>
      </c>
      <c r="Z81" t="s">
        <v>49</v>
      </c>
      <c r="AA81" t="s">
        <v>50</v>
      </c>
      <c r="AB81" s="1">
        <v>40294</v>
      </c>
      <c r="AD81" t="s">
        <v>51</v>
      </c>
      <c r="AE81" t="s">
        <v>52</v>
      </c>
      <c r="AF81" t="s">
        <v>53</v>
      </c>
      <c r="AG81" t="s">
        <v>86</v>
      </c>
      <c r="AH81">
        <v>19</v>
      </c>
      <c r="AI81" t="s">
        <v>77</v>
      </c>
      <c r="AJ81" t="s">
        <v>65</v>
      </c>
      <c r="AK81">
        <v>2.9</v>
      </c>
      <c r="AL81">
        <v>3</v>
      </c>
      <c r="AM81">
        <v>0</v>
      </c>
      <c r="AN81" s="1">
        <v>43486</v>
      </c>
      <c r="AO81">
        <v>0</v>
      </c>
      <c r="AP81">
        <v>6</v>
      </c>
    </row>
    <row r="82" spans="1:42">
      <c r="A82" t="s">
        <v>218</v>
      </c>
      <c r="B82" t="str">
        <f t="shared" si="3"/>
        <v>Marianne</v>
      </c>
      <c r="C82" t="str">
        <f t="shared" si="4"/>
        <v>Eaton</v>
      </c>
      <c r="D82">
        <f t="shared" ca="1" si="5"/>
        <v>6</v>
      </c>
      <c r="E82" t="str" cm="1">
        <f t="array" ref="E82">_xlfn.IFS(P82&lt;40000, "Low", P82&lt;70000, "MID", P82&lt;100000, "HIGH", P82&gt;=100000, "Executive")</f>
        <v>MID</v>
      </c>
      <c r="F82" t="str" cm="1">
        <f t="array" ref="F82">_xlfn.IFS(AJ82="Exceeds", "Top Performer", AJ82="Fully Meets", "Solid Performer", AJ82="Needs Improvement", "Underperformer", AJ82="PIP", "At Risk")</f>
        <v>Solid Performer</v>
      </c>
      <c r="G82" t="str" cm="1">
        <f t="array" ref="G82">_xlfn.IFS(AE82="Active", "Retained", AE82="Voluntarily Terminated", "Voluntary Exit", AE82="Terminated for Cause", "Involuntary Exit")</f>
        <v>Voluntary Exit</v>
      </c>
      <c r="H82">
        <v>10064</v>
      </c>
      <c r="I82">
        <v>1</v>
      </c>
      <c r="J82">
        <v>1</v>
      </c>
      <c r="K82">
        <v>0</v>
      </c>
      <c r="L82">
        <v>5</v>
      </c>
      <c r="M82">
        <v>5</v>
      </c>
      <c r="N82">
        <v>3</v>
      </c>
      <c r="O82">
        <v>0</v>
      </c>
      <c r="P82">
        <v>60070</v>
      </c>
      <c r="Q82">
        <v>1</v>
      </c>
      <c r="R82">
        <v>19</v>
      </c>
      <c r="S82" t="s">
        <v>44</v>
      </c>
      <c r="T82" t="s">
        <v>45</v>
      </c>
      <c r="U82">
        <v>2343</v>
      </c>
      <c r="V82" s="1">
        <v>33486</v>
      </c>
      <c r="W82" t="s">
        <v>68</v>
      </c>
      <c r="X82" t="s">
        <v>59</v>
      </c>
      <c r="Y82" t="s">
        <v>48</v>
      </c>
      <c r="Z82" t="s">
        <v>49</v>
      </c>
      <c r="AA82" t="s">
        <v>50</v>
      </c>
      <c r="AB82" s="1">
        <v>40637</v>
      </c>
      <c r="AC82" s="1">
        <v>42892</v>
      </c>
      <c r="AD82" t="s">
        <v>219</v>
      </c>
      <c r="AE82" t="s">
        <v>61</v>
      </c>
      <c r="AF82" t="s">
        <v>53</v>
      </c>
      <c r="AG82" t="s">
        <v>70</v>
      </c>
      <c r="AH82">
        <v>20</v>
      </c>
      <c r="AI82" t="s">
        <v>77</v>
      </c>
      <c r="AJ82" t="s">
        <v>65</v>
      </c>
      <c r="AK82">
        <v>5</v>
      </c>
      <c r="AL82">
        <v>3</v>
      </c>
      <c r="AM82">
        <v>0</v>
      </c>
      <c r="AN82" s="1">
        <v>42834</v>
      </c>
      <c r="AO82">
        <v>0</v>
      </c>
      <c r="AP82">
        <v>7</v>
      </c>
    </row>
    <row r="83" spans="1:42">
      <c r="A83" t="s">
        <v>220</v>
      </c>
      <c r="B83" t="str">
        <f t="shared" si="3"/>
        <v>Jean</v>
      </c>
      <c r="C83" t="str">
        <f t="shared" si="4"/>
        <v>Engdahl</v>
      </c>
      <c r="D83">
        <f t="shared" ca="1" si="5"/>
        <v>11</v>
      </c>
      <c r="E83" t="str" cm="1">
        <f t="array" ref="E83">_xlfn.IFS(P83&lt;40000, "Low", P83&lt;70000, "MID", P83&lt;100000, "HIGH", P83&gt;=100000, "Executive")</f>
        <v>MID</v>
      </c>
      <c r="F83" t="str" cm="1">
        <f t="array" ref="F83">_xlfn.IFS(AJ83="Exceeds", "Top Performer", AJ83="Fully Meets", "Solid Performer", AJ83="Needs Improvement", "Underperformer", AJ83="PIP", "At Risk")</f>
        <v>Solid Performer</v>
      </c>
      <c r="G83" t="str" cm="1">
        <f t="array" ref="G83">_xlfn.IFS(AE83="Active", "Retained", AE83="Voluntarily Terminated", "Voluntary Exit", AE83="Terminated for Cause", "Involuntary Exit")</f>
        <v>Retained</v>
      </c>
      <c r="H83">
        <v>10247</v>
      </c>
      <c r="I83">
        <v>0</v>
      </c>
      <c r="J83">
        <v>0</v>
      </c>
      <c r="K83">
        <v>1</v>
      </c>
      <c r="L83">
        <v>1</v>
      </c>
      <c r="M83">
        <v>5</v>
      </c>
      <c r="N83">
        <v>3</v>
      </c>
      <c r="O83">
        <v>0</v>
      </c>
      <c r="P83">
        <v>48888</v>
      </c>
      <c r="Q83">
        <v>0</v>
      </c>
      <c r="R83">
        <v>19</v>
      </c>
      <c r="S83" t="s">
        <v>44</v>
      </c>
      <c r="T83" t="s">
        <v>45</v>
      </c>
      <c r="U83">
        <v>2026</v>
      </c>
      <c r="V83" s="1">
        <v>27180</v>
      </c>
      <c r="W83" t="s">
        <v>46</v>
      </c>
      <c r="X83" t="s">
        <v>47</v>
      </c>
      <c r="Y83" t="s">
        <v>48</v>
      </c>
      <c r="Z83" t="s">
        <v>49</v>
      </c>
      <c r="AA83" t="s">
        <v>50</v>
      </c>
      <c r="AB83" s="1">
        <v>41953</v>
      </c>
      <c r="AD83" t="s">
        <v>51</v>
      </c>
      <c r="AE83" t="s">
        <v>52</v>
      </c>
      <c r="AF83" t="s">
        <v>53</v>
      </c>
      <c r="AG83" t="s">
        <v>106</v>
      </c>
      <c r="AH83">
        <v>18</v>
      </c>
      <c r="AI83" t="s">
        <v>55</v>
      </c>
      <c r="AJ83" t="s">
        <v>65</v>
      </c>
      <c r="AK83">
        <v>4.7</v>
      </c>
      <c r="AL83">
        <v>5</v>
      </c>
      <c r="AM83">
        <v>0</v>
      </c>
      <c r="AN83" s="1">
        <v>43509</v>
      </c>
      <c r="AO83">
        <v>0</v>
      </c>
      <c r="AP83">
        <v>8</v>
      </c>
    </row>
    <row r="84" spans="1:42">
      <c r="A84" t="s">
        <v>221</v>
      </c>
      <c r="B84" t="str">
        <f t="shared" si="3"/>
        <v>Rex</v>
      </c>
      <c r="C84" t="str">
        <f t="shared" si="4"/>
        <v>England</v>
      </c>
      <c r="D84">
        <f t="shared" ca="1" si="5"/>
        <v>12</v>
      </c>
      <c r="E84" t="str" cm="1">
        <f t="array" ref="E84">_xlfn.IFS(P84&lt;40000, "Low", P84&lt;70000, "MID", P84&lt;100000, "HIGH", P84&gt;=100000, "Executive")</f>
        <v>MID</v>
      </c>
      <c r="F84" t="str" cm="1">
        <f t="array" ref="F84">_xlfn.IFS(AJ84="Exceeds", "Top Performer", AJ84="Fully Meets", "Solid Performer", AJ84="Needs Improvement", "Underperformer", AJ84="PIP", "At Risk")</f>
        <v>Solid Performer</v>
      </c>
      <c r="G84" t="str" cm="1">
        <f t="array" ref="G84">_xlfn.IFS(AE84="Active", "Retained", AE84="Voluntarily Terminated", "Voluntary Exit", AE84="Terminated for Cause", "Involuntary Exit")</f>
        <v>Retained</v>
      </c>
      <c r="H84">
        <v>10235</v>
      </c>
      <c r="I84">
        <v>1</v>
      </c>
      <c r="J84">
        <v>1</v>
      </c>
      <c r="K84">
        <v>1</v>
      </c>
      <c r="L84">
        <v>1</v>
      </c>
      <c r="M84">
        <v>5</v>
      </c>
      <c r="N84">
        <v>3</v>
      </c>
      <c r="O84">
        <v>0</v>
      </c>
      <c r="P84">
        <v>54285</v>
      </c>
      <c r="Q84">
        <v>0</v>
      </c>
      <c r="R84">
        <v>19</v>
      </c>
      <c r="S84" t="s">
        <v>44</v>
      </c>
      <c r="T84" t="s">
        <v>45</v>
      </c>
      <c r="U84">
        <v>2045</v>
      </c>
      <c r="V84" s="1">
        <v>28727</v>
      </c>
      <c r="W84" t="s">
        <v>46</v>
      </c>
      <c r="X84" t="s">
        <v>59</v>
      </c>
      <c r="Y84" t="s">
        <v>48</v>
      </c>
      <c r="Z84" t="s">
        <v>49</v>
      </c>
      <c r="AA84" t="s">
        <v>50</v>
      </c>
      <c r="AB84" s="1">
        <v>41729</v>
      </c>
      <c r="AD84" t="s">
        <v>51</v>
      </c>
      <c r="AE84" t="s">
        <v>52</v>
      </c>
      <c r="AF84" t="s">
        <v>53</v>
      </c>
      <c r="AG84" t="s">
        <v>106</v>
      </c>
      <c r="AH84">
        <v>18</v>
      </c>
      <c r="AI84" t="s">
        <v>87</v>
      </c>
      <c r="AJ84" t="s">
        <v>65</v>
      </c>
      <c r="AK84">
        <v>4.2</v>
      </c>
      <c r="AL84">
        <v>3</v>
      </c>
      <c r="AM84">
        <v>0</v>
      </c>
      <c r="AN84" s="1">
        <v>43476</v>
      </c>
      <c r="AO84">
        <v>0</v>
      </c>
      <c r="AP84">
        <v>3</v>
      </c>
    </row>
    <row r="85" spans="1:42">
      <c r="A85" t="s">
        <v>222</v>
      </c>
      <c r="B85" t="str">
        <f t="shared" si="3"/>
        <v>Angela</v>
      </c>
      <c r="C85" t="str">
        <f t="shared" si="4"/>
        <v>Erilus</v>
      </c>
      <c r="D85">
        <f t="shared" ca="1" si="5"/>
        <v>11</v>
      </c>
      <c r="E85" t="str" cm="1">
        <f t="array" ref="E85">_xlfn.IFS(P85&lt;40000, "Low", P85&lt;70000, "MID", P85&lt;100000, "HIGH", P85&gt;=100000, "Executive")</f>
        <v>MID</v>
      </c>
      <c r="F85" t="str" cm="1">
        <f t="array" ref="F85">_xlfn.IFS(AJ85="Exceeds", "Top Performer", AJ85="Fully Meets", "Solid Performer", AJ85="Needs Improvement", "Underperformer", AJ85="PIP", "At Risk")</f>
        <v>At Risk</v>
      </c>
      <c r="G85" t="str" cm="1">
        <f t="array" ref="G85">_xlfn.IFS(AE85="Active", "Retained", AE85="Voluntarily Terminated", "Voluntary Exit", AE85="Terminated for Cause", "Involuntary Exit")</f>
        <v>Retained</v>
      </c>
      <c r="H85">
        <v>10299</v>
      </c>
      <c r="I85">
        <v>0</v>
      </c>
      <c r="J85">
        <v>3</v>
      </c>
      <c r="K85">
        <v>0</v>
      </c>
      <c r="L85">
        <v>1</v>
      </c>
      <c r="M85">
        <v>5</v>
      </c>
      <c r="N85">
        <v>1</v>
      </c>
      <c r="O85">
        <v>0</v>
      </c>
      <c r="P85">
        <v>56847</v>
      </c>
      <c r="Q85">
        <v>0</v>
      </c>
      <c r="R85">
        <v>20</v>
      </c>
      <c r="S85" t="s">
        <v>67</v>
      </c>
      <c r="T85" t="s">
        <v>45</v>
      </c>
      <c r="U85">
        <v>2133</v>
      </c>
      <c r="V85" s="1">
        <v>32745</v>
      </c>
      <c r="W85" t="s">
        <v>68</v>
      </c>
      <c r="X85" t="s">
        <v>144</v>
      </c>
      <c r="Y85" t="s">
        <v>48</v>
      </c>
      <c r="Z85" t="s">
        <v>49</v>
      </c>
      <c r="AA85" t="s">
        <v>50</v>
      </c>
      <c r="AB85" s="1">
        <v>41827</v>
      </c>
      <c r="AD85" t="s">
        <v>51</v>
      </c>
      <c r="AE85" t="s">
        <v>52</v>
      </c>
      <c r="AF85" t="s">
        <v>53</v>
      </c>
      <c r="AG85" t="s">
        <v>54</v>
      </c>
      <c r="AH85">
        <v>22</v>
      </c>
      <c r="AI85" t="s">
        <v>64</v>
      </c>
      <c r="AJ85" t="s">
        <v>198</v>
      </c>
      <c r="AK85">
        <v>3</v>
      </c>
      <c r="AL85">
        <v>1</v>
      </c>
      <c r="AM85">
        <v>0</v>
      </c>
      <c r="AN85" s="1">
        <v>43521</v>
      </c>
      <c r="AO85">
        <v>2</v>
      </c>
      <c r="AP85">
        <v>5</v>
      </c>
    </row>
    <row r="86" spans="1:42">
      <c r="A86" t="s">
        <v>223</v>
      </c>
      <c r="B86" t="str">
        <f t="shared" si="3"/>
        <v>Miguel</v>
      </c>
      <c r="C86" t="str">
        <f t="shared" si="4"/>
        <v>Estremera</v>
      </c>
      <c r="D86">
        <f t="shared" ca="1" si="5"/>
        <v>6</v>
      </c>
      <c r="E86" t="str" cm="1">
        <f t="array" ref="E86">_xlfn.IFS(P86&lt;40000, "Low", P86&lt;70000, "MID", P86&lt;100000, "HIGH", P86&gt;=100000, "Executive")</f>
        <v>MID</v>
      </c>
      <c r="F86" t="str" cm="1">
        <f t="array" ref="F86">_xlfn.IFS(AJ86="Exceeds", "Top Performer", AJ86="Fully Meets", "Solid Performer", AJ86="Needs Improvement", "Underperformer", AJ86="PIP", "At Risk")</f>
        <v>Underperformer</v>
      </c>
      <c r="G86" t="str" cm="1">
        <f t="array" ref="G86">_xlfn.IFS(AE86="Active", "Retained", AE86="Voluntarily Terminated", "Voluntary Exit", AE86="Terminated for Cause", "Involuntary Exit")</f>
        <v>Involuntary Exit</v>
      </c>
      <c r="H86">
        <v>10280</v>
      </c>
      <c r="I86">
        <v>0</v>
      </c>
      <c r="J86">
        <v>0</v>
      </c>
      <c r="K86">
        <v>1</v>
      </c>
      <c r="L86">
        <v>4</v>
      </c>
      <c r="M86">
        <v>5</v>
      </c>
      <c r="N86">
        <v>2</v>
      </c>
      <c r="O86">
        <v>0</v>
      </c>
      <c r="P86">
        <v>60340</v>
      </c>
      <c r="Q86">
        <v>1</v>
      </c>
      <c r="R86">
        <v>19</v>
      </c>
      <c r="S86" t="s">
        <v>44</v>
      </c>
      <c r="T86" t="s">
        <v>45</v>
      </c>
      <c r="U86">
        <v>2129</v>
      </c>
      <c r="V86" s="1">
        <v>30561</v>
      </c>
      <c r="W86" t="s">
        <v>46</v>
      </c>
      <c r="X86" t="s">
        <v>47</v>
      </c>
      <c r="Y86" t="s">
        <v>48</v>
      </c>
      <c r="Z86" t="s">
        <v>49</v>
      </c>
      <c r="AA86" t="s">
        <v>50</v>
      </c>
      <c r="AB86" s="1">
        <v>41001</v>
      </c>
      <c r="AC86" s="1">
        <v>43370</v>
      </c>
      <c r="AD86" t="s">
        <v>110</v>
      </c>
      <c r="AE86" t="s">
        <v>111</v>
      </c>
      <c r="AF86" t="s">
        <v>53</v>
      </c>
      <c r="AG86" t="s">
        <v>54</v>
      </c>
      <c r="AH86">
        <v>22</v>
      </c>
      <c r="AI86" t="s">
        <v>77</v>
      </c>
      <c r="AJ86" t="s">
        <v>125</v>
      </c>
      <c r="AK86">
        <v>5</v>
      </c>
      <c r="AL86">
        <v>4</v>
      </c>
      <c r="AM86">
        <v>0</v>
      </c>
      <c r="AN86" s="1">
        <v>43202</v>
      </c>
      <c r="AO86">
        <v>5</v>
      </c>
      <c r="AP86">
        <v>16</v>
      </c>
    </row>
    <row r="87" spans="1:42">
      <c r="A87" t="s">
        <v>224</v>
      </c>
      <c r="B87" t="str">
        <f t="shared" si="3"/>
        <v>April</v>
      </c>
      <c r="C87" t="str">
        <f t="shared" si="4"/>
        <v>Evensen</v>
      </c>
      <c r="D87">
        <f t="shared" ca="1" si="5"/>
        <v>4</v>
      </c>
      <c r="E87" t="str" cm="1">
        <f t="array" ref="E87">_xlfn.IFS(P87&lt;40000, "Low", P87&lt;70000, "MID", P87&lt;100000, "HIGH", P87&gt;=100000, "Executive")</f>
        <v>MID</v>
      </c>
      <c r="F87" t="str" cm="1">
        <f t="array" ref="F87">_xlfn.IFS(AJ87="Exceeds", "Top Performer", AJ87="Fully Meets", "Solid Performer", AJ87="Needs Improvement", "Underperformer", AJ87="PIP", "At Risk")</f>
        <v>Underperformer</v>
      </c>
      <c r="G87" t="str" cm="1">
        <f t="array" ref="G87">_xlfn.IFS(AE87="Active", "Retained", AE87="Voluntarily Terminated", "Voluntary Exit", AE87="Terminated for Cause", "Involuntary Exit")</f>
        <v>Involuntary Exit</v>
      </c>
      <c r="H87">
        <v>10296</v>
      </c>
      <c r="I87">
        <v>0</v>
      </c>
      <c r="J87">
        <v>0</v>
      </c>
      <c r="K87">
        <v>0</v>
      </c>
      <c r="L87">
        <v>4</v>
      </c>
      <c r="M87">
        <v>5</v>
      </c>
      <c r="N87">
        <v>2</v>
      </c>
      <c r="O87">
        <v>0</v>
      </c>
      <c r="P87">
        <v>59124</v>
      </c>
      <c r="Q87">
        <v>1</v>
      </c>
      <c r="R87">
        <v>19</v>
      </c>
      <c r="S87" t="s">
        <v>44</v>
      </c>
      <c r="T87" t="s">
        <v>45</v>
      </c>
      <c r="U87">
        <v>2458</v>
      </c>
      <c r="V87" s="1">
        <v>32634</v>
      </c>
      <c r="W87" t="s">
        <v>68</v>
      </c>
      <c r="X87" t="s">
        <v>47</v>
      </c>
      <c r="Y87" t="s">
        <v>48</v>
      </c>
      <c r="Z87" t="s">
        <v>49</v>
      </c>
      <c r="AA87" t="s">
        <v>50</v>
      </c>
      <c r="AB87" s="1">
        <v>41687</v>
      </c>
      <c r="AC87" s="1">
        <v>43156</v>
      </c>
      <c r="AD87" t="s">
        <v>225</v>
      </c>
      <c r="AE87" t="s">
        <v>111</v>
      </c>
      <c r="AF87" t="s">
        <v>53</v>
      </c>
      <c r="AG87" t="s">
        <v>72</v>
      </c>
      <c r="AH87">
        <v>16</v>
      </c>
      <c r="AI87" t="s">
        <v>77</v>
      </c>
      <c r="AJ87" t="s">
        <v>125</v>
      </c>
      <c r="AK87">
        <v>2.2999999999999998</v>
      </c>
      <c r="AL87">
        <v>3</v>
      </c>
      <c r="AM87">
        <v>0</v>
      </c>
      <c r="AN87" s="1">
        <v>42750</v>
      </c>
      <c r="AO87">
        <v>5</v>
      </c>
      <c r="AP87">
        <v>19</v>
      </c>
    </row>
    <row r="88" spans="1:42">
      <c r="A88" t="s">
        <v>226</v>
      </c>
      <c r="B88" t="str">
        <f t="shared" si="3"/>
        <v>Susan</v>
      </c>
      <c r="C88" t="str">
        <f t="shared" si="4"/>
        <v>Exantus</v>
      </c>
      <c r="D88">
        <f t="shared" ca="1" si="5"/>
        <v>2</v>
      </c>
      <c r="E88" t="str" cm="1">
        <f t="array" ref="E88">_xlfn.IFS(P88&lt;40000, "Low", P88&lt;70000, "MID", P88&lt;100000, "HIGH", P88&gt;=100000, "Executive")</f>
        <v>HIGH</v>
      </c>
      <c r="F88" t="str" cm="1">
        <f t="array" ref="F88">_xlfn.IFS(AJ88="Exceeds", "Top Performer", AJ88="Fully Meets", "Solid Performer", AJ88="Needs Improvement", "Underperformer", AJ88="PIP", "At Risk")</f>
        <v>Underperformer</v>
      </c>
      <c r="G88" t="str" cm="1">
        <f t="array" ref="G88">_xlfn.IFS(AE88="Active", "Retained", AE88="Voluntarily Terminated", "Voluntary Exit", AE88="Terminated for Cause", "Involuntary Exit")</f>
        <v>Involuntary Exit</v>
      </c>
      <c r="H88">
        <v>10290</v>
      </c>
      <c r="I88">
        <v>1</v>
      </c>
      <c r="J88">
        <v>1</v>
      </c>
      <c r="K88">
        <v>0</v>
      </c>
      <c r="L88">
        <v>4</v>
      </c>
      <c r="M88">
        <v>4</v>
      </c>
      <c r="N88">
        <v>2</v>
      </c>
      <c r="O88">
        <v>0</v>
      </c>
      <c r="P88">
        <v>99280</v>
      </c>
      <c r="Q88">
        <v>1</v>
      </c>
      <c r="R88">
        <v>24</v>
      </c>
      <c r="S88" t="s">
        <v>81</v>
      </c>
      <c r="T88" t="s">
        <v>45</v>
      </c>
      <c r="U88">
        <v>1749</v>
      </c>
      <c r="V88" s="1">
        <v>31912</v>
      </c>
      <c r="W88" t="s">
        <v>68</v>
      </c>
      <c r="X88" t="s">
        <v>59</v>
      </c>
      <c r="Y88" t="s">
        <v>48</v>
      </c>
      <c r="Z88" t="s">
        <v>49</v>
      </c>
      <c r="AA88" t="s">
        <v>89</v>
      </c>
      <c r="AB88" s="1">
        <v>40665</v>
      </c>
      <c r="AC88" s="1">
        <v>41430</v>
      </c>
      <c r="AD88" t="s">
        <v>110</v>
      </c>
      <c r="AE88" t="s">
        <v>111</v>
      </c>
      <c r="AF88" t="s">
        <v>82</v>
      </c>
      <c r="AG88" t="s">
        <v>83</v>
      </c>
      <c r="AH88">
        <v>10</v>
      </c>
      <c r="AI88" t="s">
        <v>64</v>
      </c>
      <c r="AJ88" t="s">
        <v>125</v>
      </c>
      <c r="AK88">
        <v>2.1</v>
      </c>
      <c r="AL88">
        <v>5</v>
      </c>
      <c r="AM88">
        <v>4</v>
      </c>
      <c r="AN88" s="1">
        <v>41131</v>
      </c>
      <c r="AO88">
        <v>4</v>
      </c>
      <c r="AP88">
        <v>19</v>
      </c>
    </row>
    <row r="89" spans="1:42">
      <c r="A89" t="s">
        <v>227</v>
      </c>
      <c r="B89" t="str">
        <f t="shared" si="3"/>
        <v>Megan</v>
      </c>
      <c r="C89" t="str">
        <f t="shared" si="4"/>
        <v>Faller</v>
      </c>
      <c r="D89">
        <f t="shared" ca="1" si="5"/>
        <v>11</v>
      </c>
      <c r="E89" t="str" cm="1">
        <f t="array" ref="E89">_xlfn.IFS(P89&lt;40000, "Low", P89&lt;70000, "MID", P89&lt;100000, "HIGH", P89&gt;=100000, "Executive")</f>
        <v>HIGH</v>
      </c>
      <c r="F89" t="str" cm="1">
        <f t="array" ref="F89">_xlfn.IFS(AJ89="Exceeds", "Top Performer", AJ89="Fully Meets", "Solid Performer", AJ89="Needs Improvement", "Underperformer", AJ89="PIP", "At Risk")</f>
        <v>Solid Performer</v>
      </c>
      <c r="G89" t="str" cm="1">
        <f t="array" ref="G89">_xlfn.IFS(AE89="Active", "Retained", AE89="Voluntarily Terminated", "Voluntary Exit", AE89="Terminated for Cause", "Involuntary Exit")</f>
        <v>Retained</v>
      </c>
      <c r="H89">
        <v>10263</v>
      </c>
      <c r="I89">
        <v>1</v>
      </c>
      <c r="J89">
        <v>1</v>
      </c>
      <c r="K89">
        <v>0</v>
      </c>
      <c r="L89">
        <v>1</v>
      </c>
      <c r="M89">
        <v>5</v>
      </c>
      <c r="N89">
        <v>3</v>
      </c>
      <c r="O89">
        <v>0</v>
      </c>
      <c r="P89">
        <v>71776</v>
      </c>
      <c r="Q89">
        <v>0</v>
      </c>
      <c r="R89">
        <v>20</v>
      </c>
      <c r="S89" t="s">
        <v>67</v>
      </c>
      <c r="T89" t="s">
        <v>45</v>
      </c>
      <c r="U89">
        <v>1824</v>
      </c>
      <c r="V89" s="1">
        <v>28755</v>
      </c>
      <c r="W89" t="s">
        <v>68</v>
      </c>
      <c r="X89" t="s">
        <v>59</v>
      </c>
      <c r="Y89" t="s">
        <v>48</v>
      </c>
      <c r="Z89" t="s">
        <v>49</v>
      </c>
      <c r="AA89" t="s">
        <v>89</v>
      </c>
      <c r="AB89" s="1">
        <v>41827</v>
      </c>
      <c r="AD89" t="s">
        <v>51</v>
      </c>
      <c r="AE89" t="s">
        <v>52</v>
      </c>
      <c r="AF89" t="s">
        <v>53</v>
      </c>
      <c r="AG89" t="s">
        <v>72</v>
      </c>
      <c r="AH89">
        <v>16</v>
      </c>
      <c r="AI89" t="s">
        <v>55</v>
      </c>
      <c r="AJ89" t="s">
        <v>65</v>
      </c>
      <c r="AK89">
        <v>4.4000000000000004</v>
      </c>
      <c r="AL89">
        <v>5</v>
      </c>
      <c r="AM89">
        <v>0</v>
      </c>
      <c r="AN89" s="1">
        <v>43518</v>
      </c>
      <c r="AO89">
        <v>0</v>
      </c>
      <c r="AP89">
        <v>17</v>
      </c>
    </row>
    <row r="90" spans="1:42">
      <c r="A90" t="s">
        <v>228</v>
      </c>
      <c r="B90" t="str">
        <f t="shared" si="3"/>
        <v>Nicole</v>
      </c>
      <c r="C90" t="str">
        <f t="shared" si="4"/>
        <v>Fancett</v>
      </c>
      <c r="D90">
        <f t="shared" ca="1" si="5"/>
        <v>12</v>
      </c>
      <c r="E90" t="str" cm="1">
        <f t="array" ref="E90">_xlfn.IFS(P90&lt;40000, "Low", P90&lt;70000, "MID", P90&lt;100000, "HIGH", P90&gt;=100000, "Executive")</f>
        <v>MID</v>
      </c>
      <c r="F90" t="str" cm="1">
        <f t="array" ref="F90">_xlfn.IFS(AJ90="Exceeds", "Top Performer", AJ90="Fully Meets", "Solid Performer", AJ90="Needs Improvement", "Underperformer", AJ90="PIP", "At Risk")</f>
        <v>Solid Performer</v>
      </c>
      <c r="G90" t="str" cm="1">
        <f t="array" ref="G90">_xlfn.IFS(AE90="Active", "Retained", AE90="Voluntarily Terminated", "Voluntary Exit", AE90="Terminated for Cause", "Involuntary Exit")</f>
        <v>Retained</v>
      </c>
      <c r="H90">
        <v>10136</v>
      </c>
      <c r="I90">
        <v>0</v>
      </c>
      <c r="J90">
        <v>0</v>
      </c>
      <c r="K90">
        <v>0</v>
      </c>
      <c r="L90">
        <v>1</v>
      </c>
      <c r="M90">
        <v>5</v>
      </c>
      <c r="N90">
        <v>3</v>
      </c>
      <c r="O90">
        <v>0</v>
      </c>
      <c r="P90">
        <v>65902</v>
      </c>
      <c r="Q90">
        <v>0</v>
      </c>
      <c r="R90">
        <v>20</v>
      </c>
      <c r="S90" t="s">
        <v>67</v>
      </c>
      <c r="T90" t="s">
        <v>45</v>
      </c>
      <c r="U90">
        <v>2324</v>
      </c>
      <c r="V90" s="1">
        <v>32047</v>
      </c>
      <c r="W90" t="s">
        <v>68</v>
      </c>
      <c r="X90" t="s">
        <v>47</v>
      </c>
      <c r="Y90" t="s">
        <v>48</v>
      </c>
      <c r="Z90" t="s">
        <v>49</v>
      </c>
      <c r="AA90" t="s">
        <v>89</v>
      </c>
      <c r="AB90" s="1">
        <v>41687</v>
      </c>
      <c r="AD90" t="s">
        <v>51</v>
      </c>
      <c r="AE90" t="s">
        <v>52</v>
      </c>
      <c r="AF90" t="s">
        <v>53</v>
      </c>
      <c r="AG90" t="s">
        <v>76</v>
      </c>
      <c r="AI90" t="s">
        <v>55</v>
      </c>
      <c r="AJ90" t="s">
        <v>65</v>
      </c>
      <c r="AK90">
        <v>4</v>
      </c>
      <c r="AL90">
        <v>4</v>
      </c>
      <c r="AM90">
        <v>0</v>
      </c>
      <c r="AN90" s="1">
        <v>43472</v>
      </c>
      <c r="AO90">
        <v>0</v>
      </c>
      <c r="AP90">
        <v>7</v>
      </c>
    </row>
    <row r="91" spans="1:42">
      <c r="A91" t="s">
        <v>229</v>
      </c>
      <c r="B91" t="str">
        <f t="shared" si="3"/>
        <v>Susan</v>
      </c>
      <c r="C91" t="str">
        <f t="shared" si="4"/>
        <v>Ferguson</v>
      </c>
      <c r="D91">
        <f t="shared" ca="1" si="5"/>
        <v>4</v>
      </c>
      <c r="E91" t="str" cm="1">
        <f t="array" ref="E91">_xlfn.IFS(P91&lt;40000, "Low", P91&lt;70000, "MID", P91&lt;100000, "HIGH", P91&gt;=100000, "Executive")</f>
        <v>MID</v>
      </c>
      <c r="F91" t="str" cm="1">
        <f t="array" ref="F91">_xlfn.IFS(AJ91="Exceeds", "Top Performer", AJ91="Fully Meets", "Solid Performer", AJ91="Needs Improvement", "Underperformer", AJ91="PIP", "At Risk")</f>
        <v>Solid Performer</v>
      </c>
      <c r="G91" t="str" cm="1">
        <f t="array" ref="G91">_xlfn.IFS(AE91="Active", "Retained", AE91="Voluntarily Terminated", "Voluntary Exit", AE91="Terminated for Cause", "Involuntary Exit")</f>
        <v>Voluntary Exit</v>
      </c>
      <c r="H91">
        <v>10189</v>
      </c>
      <c r="I91">
        <v>1</v>
      </c>
      <c r="J91">
        <v>1</v>
      </c>
      <c r="K91">
        <v>0</v>
      </c>
      <c r="L91">
        <v>5</v>
      </c>
      <c r="M91">
        <v>5</v>
      </c>
      <c r="N91">
        <v>3</v>
      </c>
      <c r="O91">
        <v>0</v>
      </c>
      <c r="P91">
        <v>57748</v>
      </c>
      <c r="Q91">
        <v>1</v>
      </c>
      <c r="R91">
        <v>19</v>
      </c>
      <c r="S91" t="s">
        <v>44</v>
      </c>
      <c r="T91" t="s">
        <v>45</v>
      </c>
      <c r="U91">
        <v>2176</v>
      </c>
      <c r="V91" s="1">
        <v>20193</v>
      </c>
      <c r="W91" t="s">
        <v>68</v>
      </c>
      <c r="X91" t="s">
        <v>59</v>
      </c>
      <c r="Y91" t="s">
        <v>48</v>
      </c>
      <c r="Z91" t="s">
        <v>49</v>
      </c>
      <c r="AA91" t="s">
        <v>50</v>
      </c>
      <c r="AB91" s="1">
        <v>40854</v>
      </c>
      <c r="AC91" s="1">
        <v>42507</v>
      </c>
      <c r="AD91" t="s">
        <v>219</v>
      </c>
      <c r="AE91" t="s">
        <v>61</v>
      </c>
      <c r="AF91" t="s">
        <v>53</v>
      </c>
      <c r="AG91" t="s">
        <v>76</v>
      </c>
      <c r="AH91">
        <v>39</v>
      </c>
      <c r="AI91" t="s">
        <v>77</v>
      </c>
      <c r="AJ91" t="s">
        <v>65</v>
      </c>
      <c r="AK91">
        <v>3.13</v>
      </c>
      <c r="AL91">
        <v>3</v>
      </c>
      <c r="AM91">
        <v>0</v>
      </c>
      <c r="AN91" s="1">
        <v>42404</v>
      </c>
      <c r="AO91">
        <v>0</v>
      </c>
      <c r="AP91">
        <v>16</v>
      </c>
    </row>
    <row r="92" spans="1:42">
      <c r="A92" t="s">
        <v>230</v>
      </c>
      <c r="B92" t="str">
        <f t="shared" si="3"/>
        <v>Nilson</v>
      </c>
      <c r="C92" t="str">
        <f t="shared" si="4"/>
        <v>Fernandes</v>
      </c>
      <c r="D92">
        <f t="shared" ca="1" si="5"/>
        <v>10</v>
      </c>
      <c r="E92" t="str" cm="1">
        <f t="array" ref="E92">_xlfn.IFS(P92&lt;40000, "Low", P92&lt;70000, "MID", P92&lt;100000, "HIGH", P92&gt;=100000, "Executive")</f>
        <v>MID</v>
      </c>
      <c r="F92" t="str" cm="1">
        <f t="array" ref="F92">_xlfn.IFS(AJ92="Exceeds", "Top Performer", AJ92="Fully Meets", "Solid Performer", AJ92="Needs Improvement", "Underperformer", AJ92="PIP", "At Risk")</f>
        <v>At Risk</v>
      </c>
      <c r="G92" t="str" cm="1">
        <f t="array" ref="G92">_xlfn.IFS(AE92="Active", "Retained", AE92="Voluntarily Terminated", "Voluntary Exit", AE92="Terminated for Cause", "Involuntary Exit")</f>
        <v>Retained</v>
      </c>
      <c r="H92">
        <v>10308</v>
      </c>
      <c r="I92">
        <v>1</v>
      </c>
      <c r="J92">
        <v>1</v>
      </c>
      <c r="K92">
        <v>1</v>
      </c>
      <c r="L92">
        <v>1</v>
      </c>
      <c r="M92">
        <v>5</v>
      </c>
      <c r="N92">
        <v>1</v>
      </c>
      <c r="O92">
        <v>0</v>
      </c>
      <c r="P92">
        <v>64057</v>
      </c>
      <c r="Q92">
        <v>0</v>
      </c>
      <c r="R92">
        <v>19</v>
      </c>
      <c r="S92" t="s">
        <v>44</v>
      </c>
      <c r="T92" t="s">
        <v>45</v>
      </c>
      <c r="U92">
        <v>2132</v>
      </c>
      <c r="V92" s="1">
        <v>32799</v>
      </c>
      <c r="W92" t="s">
        <v>46</v>
      </c>
      <c r="X92" t="s">
        <v>59</v>
      </c>
      <c r="Y92" t="s">
        <v>48</v>
      </c>
      <c r="Z92" t="s">
        <v>49</v>
      </c>
      <c r="AA92" t="s">
        <v>50</v>
      </c>
      <c r="AB92" s="1">
        <v>42135</v>
      </c>
      <c r="AD92" t="s">
        <v>51</v>
      </c>
      <c r="AE92" t="s">
        <v>52</v>
      </c>
      <c r="AF92" t="s">
        <v>53</v>
      </c>
      <c r="AG92" t="s">
        <v>79</v>
      </c>
      <c r="AH92">
        <v>11</v>
      </c>
      <c r="AI92" t="s">
        <v>64</v>
      </c>
      <c r="AJ92" t="s">
        <v>198</v>
      </c>
      <c r="AK92">
        <v>1.56</v>
      </c>
      <c r="AL92">
        <v>5</v>
      </c>
      <c r="AM92">
        <v>0</v>
      </c>
      <c r="AN92" s="1">
        <v>43468</v>
      </c>
      <c r="AO92">
        <v>6</v>
      </c>
      <c r="AP92">
        <v>15</v>
      </c>
    </row>
    <row r="93" spans="1:42">
      <c r="A93" t="s">
        <v>231</v>
      </c>
      <c r="B93" t="str">
        <f t="shared" si="3"/>
        <v>Boba</v>
      </c>
      <c r="C93" t="str">
        <f t="shared" si="4"/>
        <v>Fett</v>
      </c>
      <c r="D93">
        <f t="shared" ca="1" si="5"/>
        <v>11</v>
      </c>
      <c r="E93" t="str" cm="1">
        <f t="array" ref="E93">_xlfn.IFS(P93&lt;40000, "Low", P93&lt;70000, "MID", P93&lt;100000, "HIGH", P93&gt;=100000, "Executive")</f>
        <v>MID</v>
      </c>
      <c r="F93" t="str" cm="1">
        <f t="array" ref="F93">_xlfn.IFS(AJ93="Exceeds", "Top Performer", AJ93="Fully Meets", "Solid Performer", AJ93="Needs Improvement", "Underperformer", AJ93="PIP", "At Risk")</f>
        <v>At Risk</v>
      </c>
      <c r="G93" t="str" cm="1">
        <f t="array" ref="G93">_xlfn.IFS(AE93="Active", "Retained", AE93="Voluntarily Terminated", "Voluntary Exit", AE93="Terminated for Cause", "Involuntary Exit")</f>
        <v>Retained</v>
      </c>
      <c r="H93">
        <v>10309</v>
      </c>
      <c r="I93">
        <v>0</v>
      </c>
      <c r="J93">
        <v>0</v>
      </c>
      <c r="K93">
        <v>1</v>
      </c>
      <c r="L93">
        <v>1</v>
      </c>
      <c r="M93">
        <v>3</v>
      </c>
      <c r="N93">
        <v>1</v>
      </c>
      <c r="O93">
        <v>0</v>
      </c>
      <c r="P93">
        <v>53366</v>
      </c>
      <c r="Q93">
        <v>0</v>
      </c>
      <c r="R93">
        <v>15</v>
      </c>
      <c r="S93" t="s">
        <v>232</v>
      </c>
      <c r="T93" t="s">
        <v>45</v>
      </c>
      <c r="U93">
        <v>2138</v>
      </c>
      <c r="V93" s="1">
        <v>31946</v>
      </c>
      <c r="W93" t="s">
        <v>46</v>
      </c>
      <c r="X93" t="s">
        <v>47</v>
      </c>
      <c r="Y93" t="s">
        <v>48</v>
      </c>
      <c r="Z93" t="s">
        <v>49</v>
      </c>
      <c r="AA93" t="s">
        <v>50</v>
      </c>
      <c r="AB93" s="1">
        <v>42093</v>
      </c>
      <c r="AD93" t="s">
        <v>51</v>
      </c>
      <c r="AE93" t="s">
        <v>52</v>
      </c>
      <c r="AF93" t="s">
        <v>62</v>
      </c>
      <c r="AG93" t="s">
        <v>94</v>
      </c>
      <c r="AH93">
        <v>7</v>
      </c>
      <c r="AI93" t="s">
        <v>55</v>
      </c>
      <c r="AJ93" t="s">
        <v>198</v>
      </c>
      <c r="AK93">
        <v>1.2</v>
      </c>
      <c r="AL93">
        <v>3</v>
      </c>
      <c r="AM93">
        <v>6</v>
      </c>
      <c r="AN93" s="1">
        <v>43500</v>
      </c>
      <c r="AO93">
        <v>3</v>
      </c>
      <c r="AP93">
        <v>2</v>
      </c>
    </row>
    <row r="94" spans="1:42">
      <c r="A94" t="s">
        <v>233</v>
      </c>
      <c r="B94" t="str">
        <f t="shared" si="3"/>
        <v>Libby</v>
      </c>
      <c r="C94" t="str">
        <f t="shared" si="4"/>
        <v>Fidelia</v>
      </c>
      <c r="D94">
        <f t="shared" ca="1" si="5"/>
        <v>14</v>
      </c>
      <c r="E94" t="str" cm="1">
        <f t="array" ref="E94">_xlfn.IFS(P94&lt;40000, "Low", P94&lt;70000, "MID", P94&lt;100000, "HIGH", P94&gt;=100000, "Executive")</f>
        <v>MID</v>
      </c>
      <c r="F94" t="str" cm="1">
        <f t="array" ref="F94">_xlfn.IFS(AJ94="Exceeds", "Top Performer", AJ94="Fully Meets", "Solid Performer", AJ94="Needs Improvement", "Underperformer", AJ94="PIP", "At Risk")</f>
        <v>Solid Performer</v>
      </c>
      <c r="G94" t="str" cm="1">
        <f t="array" ref="G94">_xlfn.IFS(AE94="Active", "Retained", AE94="Voluntarily Terminated", "Voluntary Exit", AE94="Terminated for Cause", "Involuntary Exit")</f>
        <v>Retained</v>
      </c>
      <c r="H94">
        <v>10049</v>
      </c>
      <c r="I94">
        <v>1</v>
      </c>
      <c r="J94">
        <v>1</v>
      </c>
      <c r="K94">
        <v>0</v>
      </c>
      <c r="L94">
        <v>1</v>
      </c>
      <c r="M94">
        <v>5</v>
      </c>
      <c r="N94">
        <v>3</v>
      </c>
      <c r="O94">
        <v>0</v>
      </c>
      <c r="P94">
        <v>58530</v>
      </c>
      <c r="Q94">
        <v>0</v>
      </c>
      <c r="R94">
        <v>19</v>
      </c>
      <c r="S94" t="s">
        <v>44</v>
      </c>
      <c r="T94" t="s">
        <v>45</v>
      </c>
      <c r="U94">
        <v>2155</v>
      </c>
      <c r="V94" s="1">
        <v>29661</v>
      </c>
      <c r="W94" t="s">
        <v>68</v>
      </c>
      <c r="X94" t="s">
        <v>59</v>
      </c>
      <c r="Y94" t="s">
        <v>48</v>
      </c>
      <c r="Z94" t="s">
        <v>49</v>
      </c>
      <c r="AA94" t="s">
        <v>50</v>
      </c>
      <c r="AB94" s="1">
        <v>40917</v>
      </c>
      <c r="AD94" t="s">
        <v>51</v>
      </c>
      <c r="AE94" t="s">
        <v>52</v>
      </c>
      <c r="AF94" t="s">
        <v>53</v>
      </c>
      <c r="AG94" t="s">
        <v>90</v>
      </c>
      <c r="AH94">
        <v>12</v>
      </c>
      <c r="AI94" t="s">
        <v>77</v>
      </c>
      <c r="AJ94" t="s">
        <v>65</v>
      </c>
      <c r="AK94">
        <v>5</v>
      </c>
      <c r="AL94">
        <v>5</v>
      </c>
      <c r="AM94">
        <v>0</v>
      </c>
      <c r="AN94" s="1">
        <v>43494</v>
      </c>
      <c r="AO94">
        <v>0</v>
      </c>
      <c r="AP94">
        <v>19</v>
      </c>
    </row>
    <row r="95" spans="1:42">
      <c r="A95" t="s">
        <v>234</v>
      </c>
      <c r="B95" t="str">
        <f t="shared" si="3"/>
        <v>Michael J</v>
      </c>
      <c r="C95" t="str">
        <f t="shared" si="4"/>
        <v>Fitzpatrick</v>
      </c>
      <c r="D95">
        <f t="shared" ca="1" si="5"/>
        <v>2</v>
      </c>
      <c r="E95" t="str" cm="1">
        <f t="array" ref="E95">_xlfn.IFS(P95&lt;40000, "Low", P95&lt;70000, "MID", P95&lt;100000, "HIGH", P95&gt;=100000, "Executive")</f>
        <v>HIGH</v>
      </c>
      <c r="F95" t="str" cm="1">
        <f t="array" ref="F95">_xlfn.IFS(AJ95="Exceeds", "Top Performer", AJ95="Fully Meets", "Solid Performer", AJ95="Needs Improvement", "Underperformer", AJ95="PIP", "At Risk")</f>
        <v>Solid Performer</v>
      </c>
      <c r="G95" t="str" cm="1">
        <f t="array" ref="G95">_xlfn.IFS(AE95="Active", "Retained", AE95="Voluntarily Terminated", "Voluntary Exit", AE95="Terminated for Cause", "Involuntary Exit")</f>
        <v>Voluntary Exit</v>
      </c>
      <c r="H95">
        <v>10093</v>
      </c>
      <c r="I95">
        <v>0</v>
      </c>
      <c r="J95">
        <v>0</v>
      </c>
      <c r="K95">
        <v>1</v>
      </c>
      <c r="L95">
        <v>5</v>
      </c>
      <c r="M95">
        <v>5</v>
      </c>
      <c r="N95">
        <v>3</v>
      </c>
      <c r="O95">
        <v>0</v>
      </c>
      <c r="P95">
        <v>72609</v>
      </c>
      <c r="Q95">
        <v>1</v>
      </c>
      <c r="R95">
        <v>20</v>
      </c>
      <c r="S95" t="s">
        <v>67</v>
      </c>
      <c r="T95" t="s">
        <v>45</v>
      </c>
      <c r="U95">
        <v>2143</v>
      </c>
      <c r="V95" s="1">
        <v>29860</v>
      </c>
      <c r="W95" t="s">
        <v>46</v>
      </c>
      <c r="X95" t="s">
        <v>47</v>
      </c>
      <c r="Y95" t="s">
        <v>48</v>
      </c>
      <c r="Z95" t="s">
        <v>96</v>
      </c>
      <c r="AA95" t="s">
        <v>50</v>
      </c>
      <c r="AB95" s="1">
        <v>40679</v>
      </c>
      <c r="AC95" s="1">
        <v>41449</v>
      </c>
      <c r="AD95" t="s">
        <v>69</v>
      </c>
      <c r="AE95" t="s">
        <v>61</v>
      </c>
      <c r="AF95" t="s">
        <v>53</v>
      </c>
      <c r="AG95" t="s">
        <v>79</v>
      </c>
      <c r="AH95">
        <v>11</v>
      </c>
      <c r="AI95" t="s">
        <v>77</v>
      </c>
      <c r="AJ95" t="s">
        <v>65</v>
      </c>
      <c r="AK95">
        <v>4.76</v>
      </c>
      <c r="AL95">
        <v>5</v>
      </c>
      <c r="AM95">
        <v>0</v>
      </c>
      <c r="AN95" s="1">
        <v>41369</v>
      </c>
      <c r="AO95">
        <v>0</v>
      </c>
      <c r="AP95">
        <v>20</v>
      </c>
    </row>
    <row r="96" spans="1:42">
      <c r="A96" t="s">
        <v>235</v>
      </c>
      <c r="B96" t="str">
        <f t="shared" si="3"/>
        <v>Tanya</v>
      </c>
      <c r="C96" t="str">
        <f t="shared" si="4"/>
        <v>Foreman</v>
      </c>
      <c r="D96">
        <f t="shared" ca="1" si="5"/>
        <v>1</v>
      </c>
      <c r="E96" t="str" cm="1">
        <f t="array" ref="E96">_xlfn.IFS(P96&lt;40000, "Low", P96&lt;70000, "MID", P96&lt;100000, "HIGH", P96&gt;=100000, "Executive")</f>
        <v>MID</v>
      </c>
      <c r="F96" t="str" cm="1">
        <f t="array" ref="F96">_xlfn.IFS(AJ96="Exceeds", "Top Performer", AJ96="Fully Meets", "Solid Performer", AJ96="Needs Improvement", "Underperformer", AJ96="PIP", "At Risk")</f>
        <v>Solid Performer</v>
      </c>
      <c r="G96" t="str" cm="1">
        <f t="array" ref="G96">_xlfn.IFS(AE96="Active", "Retained", AE96="Voluntarily Terminated", "Voluntary Exit", AE96="Terminated for Cause", "Involuntary Exit")</f>
        <v>Voluntary Exit</v>
      </c>
      <c r="H96">
        <v>10163</v>
      </c>
      <c r="I96">
        <v>1</v>
      </c>
      <c r="J96">
        <v>1</v>
      </c>
      <c r="K96">
        <v>0</v>
      </c>
      <c r="L96">
        <v>5</v>
      </c>
      <c r="M96">
        <v>5</v>
      </c>
      <c r="N96">
        <v>3</v>
      </c>
      <c r="O96">
        <v>0</v>
      </c>
      <c r="P96">
        <v>55965</v>
      </c>
      <c r="Q96">
        <v>1</v>
      </c>
      <c r="R96">
        <v>20</v>
      </c>
      <c r="S96" t="s">
        <v>67</v>
      </c>
      <c r="T96" t="s">
        <v>45</v>
      </c>
      <c r="U96">
        <v>2170</v>
      </c>
      <c r="V96" s="1">
        <v>30628</v>
      </c>
      <c r="W96" t="s">
        <v>68</v>
      </c>
      <c r="X96" t="s">
        <v>59</v>
      </c>
      <c r="Y96" t="s">
        <v>48</v>
      </c>
      <c r="Z96" t="s">
        <v>49</v>
      </c>
      <c r="AA96" t="s">
        <v>50</v>
      </c>
      <c r="AB96" s="1">
        <v>40637</v>
      </c>
      <c r="AC96" s="1">
        <v>41283</v>
      </c>
      <c r="AD96" t="s">
        <v>60</v>
      </c>
      <c r="AE96" t="s">
        <v>61</v>
      </c>
      <c r="AF96" t="s">
        <v>53</v>
      </c>
      <c r="AG96" t="s">
        <v>86</v>
      </c>
      <c r="AH96">
        <v>19</v>
      </c>
      <c r="AI96" t="s">
        <v>77</v>
      </c>
      <c r="AJ96" t="s">
        <v>65</v>
      </c>
      <c r="AK96">
        <v>3.66</v>
      </c>
      <c r="AL96">
        <v>3</v>
      </c>
      <c r="AM96">
        <v>0</v>
      </c>
      <c r="AN96" s="1">
        <v>40915</v>
      </c>
      <c r="AO96">
        <v>0</v>
      </c>
      <c r="AP96">
        <v>6</v>
      </c>
    </row>
    <row r="97" spans="1:42">
      <c r="A97" t="s">
        <v>236</v>
      </c>
      <c r="B97" t="str">
        <f t="shared" si="3"/>
        <v>Alex</v>
      </c>
      <c r="C97" t="str">
        <f t="shared" si="4"/>
        <v>Forrest</v>
      </c>
      <c r="D97">
        <f t="shared" ca="1" si="5"/>
        <v>3</v>
      </c>
      <c r="E97" t="str" cm="1">
        <f t="array" ref="E97">_xlfn.IFS(P97&lt;40000, "Low", P97&lt;70000, "MID", P97&lt;100000, "HIGH", P97&gt;=100000, "Executive")</f>
        <v>HIGH</v>
      </c>
      <c r="F97" t="str" cm="1">
        <f t="array" ref="F97">_xlfn.IFS(AJ97="Exceeds", "Top Performer", AJ97="Fully Meets", "Solid Performer", AJ97="Needs Improvement", "Underperformer", AJ97="PIP", "At Risk")</f>
        <v>At Risk</v>
      </c>
      <c r="G97" t="str" cm="1">
        <f t="array" ref="G97">_xlfn.IFS(AE97="Active", "Retained", AE97="Voluntarily Terminated", "Voluntary Exit", AE97="Terminated for Cause", "Involuntary Exit")</f>
        <v>Involuntary Exit</v>
      </c>
      <c r="H97">
        <v>10305</v>
      </c>
      <c r="I97">
        <v>1</v>
      </c>
      <c r="J97">
        <v>1</v>
      </c>
      <c r="K97">
        <v>1</v>
      </c>
      <c r="L97">
        <v>1</v>
      </c>
      <c r="M97">
        <v>6</v>
      </c>
      <c r="N97">
        <v>3</v>
      </c>
      <c r="O97">
        <v>0</v>
      </c>
      <c r="P97">
        <v>70187</v>
      </c>
      <c r="Q97">
        <v>1</v>
      </c>
      <c r="R97">
        <v>3</v>
      </c>
      <c r="S97" t="s">
        <v>146</v>
      </c>
      <c r="T97" t="s">
        <v>45</v>
      </c>
      <c r="U97">
        <v>2330</v>
      </c>
      <c r="V97" s="1">
        <v>27582</v>
      </c>
      <c r="W97" t="s">
        <v>46</v>
      </c>
      <c r="X97" t="s">
        <v>59</v>
      </c>
      <c r="Y97" t="s">
        <v>48</v>
      </c>
      <c r="Z97" t="s">
        <v>49</v>
      </c>
      <c r="AA97" t="s">
        <v>50</v>
      </c>
      <c r="AB97" s="1">
        <v>41911</v>
      </c>
      <c r="AC97" s="1">
        <v>43331</v>
      </c>
      <c r="AD97" t="s">
        <v>237</v>
      </c>
      <c r="AE97" t="s">
        <v>111</v>
      </c>
      <c r="AF97" t="s">
        <v>148</v>
      </c>
      <c r="AG97" t="s">
        <v>167</v>
      </c>
      <c r="AH97">
        <v>21</v>
      </c>
      <c r="AI97" t="s">
        <v>87</v>
      </c>
      <c r="AJ97" t="s">
        <v>198</v>
      </c>
      <c r="AK97">
        <v>2</v>
      </c>
      <c r="AL97">
        <v>5</v>
      </c>
      <c r="AM97">
        <v>0</v>
      </c>
      <c r="AN97" s="1">
        <v>43493</v>
      </c>
      <c r="AO97">
        <v>4</v>
      </c>
      <c r="AP97">
        <v>7</v>
      </c>
    </row>
    <row r="98" spans="1:42">
      <c r="A98" t="s">
        <v>238</v>
      </c>
      <c r="B98" t="str">
        <f t="shared" si="3"/>
        <v>Jason</v>
      </c>
      <c r="C98" t="str">
        <f t="shared" si="4"/>
        <v>Foss</v>
      </c>
      <c r="D98">
        <f t="shared" ca="1" si="5"/>
        <v>14</v>
      </c>
      <c r="E98" t="str" cm="1">
        <f t="array" ref="E98">_xlfn.IFS(P98&lt;40000, "Low", P98&lt;70000, "MID", P98&lt;100000, "HIGH", P98&gt;=100000, "Executive")</f>
        <v>Executive</v>
      </c>
      <c r="F98" t="str" cm="1">
        <f t="array" ref="F98">_xlfn.IFS(AJ98="Exceeds", "Top Performer", AJ98="Fully Meets", "Solid Performer", AJ98="Needs Improvement", "Underperformer", AJ98="PIP", "At Risk")</f>
        <v>Top Performer</v>
      </c>
      <c r="G98" t="str" cm="1">
        <f t="array" ref="G98">_xlfn.IFS(AE98="Active", "Retained", AE98="Voluntarily Terminated", "Voluntary Exit", AE98="Terminated for Cause", "Involuntary Exit")</f>
        <v>Retained</v>
      </c>
      <c r="H98">
        <v>10015</v>
      </c>
      <c r="I98">
        <v>0</v>
      </c>
      <c r="J98">
        <v>0</v>
      </c>
      <c r="K98">
        <v>1</v>
      </c>
      <c r="L98">
        <v>1</v>
      </c>
      <c r="M98">
        <v>3</v>
      </c>
      <c r="N98">
        <v>4</v>
      </c>
      <c r="O98">
        <v>0</v>
      </c>
      <c r="P98">
        <v>178000</v>
      </c>
      <c r="Q98">
        <v>0</v>
      </c>
      <c r="R98">
        <v>12</v>
      </c>
      <c r="S98" t="s">
        <v>239</v>
      </c>
      <c r="T98" t="s">
        <v>45</v>
      </c>
      <c r="U98">
        <v>1460</v>
      </c>
      <c r="V98" s="1">
        <v>29407</v>
      </c>
      <c r="W98" t="s">
        <v>46</v>
      </c>
      <c r="X98" t="s">
        <v>47</v>
      </c>
      <c r="Y98" t="s">
        <v>48</v>
      </c>
      <c r="Z98" t="s">
        <v>49</v>
      </c>
      <c r="AA98" t="s">
        <v>89</v>
      </c>
      <c r="AB98" s="1">
        <v>40648</v>
      </c>
      <c r="AD98" t="s">
        <v>51</v>
      </c>
      <c r="AE98" t="s">
        <v>52</v>
      </c>
      <c r="AF98" t="s">
        <v>62</v>
      </c>
      <c r="AG98" t="s">
        <v>154</v>
      </c>
      <c r="AH98">
        <v>5</v>
      </c>
      <c r="AI98" t="s">
        <v>64</v>
      </c>
      <c r="AJ98" t="s">
        <v>56</v>
      </c>
      <c r="AK98">
        <v>5</v>
      </c>
      <c r="AL98">
        <v>5</v>
      </c>
      <c r="AM98">
        <v>5</v>
      </c>
      <c r="AN98" s="1">
        <v>43472</v>
      </c>
      <c r="AO98">
        <v>0</v>
      </c>
      <c r="AP98">
        <v>15</v>
      </c>
    </row>
    <row r="99" spans="1:42">
      <c r="A99" t="s">
        <v>240</v>
      </c>
      <c r="B99" t="str">
        <f t="shared" si="3"/>
        <v>Amy</v>
      </c>
      <c r="C99" t="str">
        <f t="shared" si="4"/>
        <v>Foster-Baker</v>
      </c>
      <c r="D99">
        <f t="shared" ca="1" si="5"/>
        <v>17</v>
      </c>
      <c r="E99" t="str" cm="1">
        <f t="array" ref="E99">_xlfn.IFS(P99&lt;40000, "Low", P99&lt;70000, "MID", P99&lt;100000, "HIGH", P99&gt;=100000, "Executive")</f>
        <v>HIGH</v>
      </c>
      <c r="F99" t="str" cm="1">
        <f t="array" ref="F99">_xlfn.IFS(AJ99="Exceeds", "Top Performer", AJ99="Fully Meets", "Solid Performer", AJ99="Needs Improvement", "Underperformer", AJ99="PIP", "At Risk")</f>
        <v>Solid Performer</v>
      </c>
      <c r="G99" t="str" cm="1">
        <f t="array" ref="G99">_xlfn.IFS(AE99="Active", "Retained", AE99="Voluntarily Terminated", "Voluntary Exit", AE99="Terminated for Cause", "Involuntary Exit")</f>
        <v>Retained</v>
      </c>
      <c r="H99">
        <v>10080</v>
      </c>
      <c r="I99">
        <v>1</v>
      </c>
      <c r="J99">
        <v>1</v>
      </c>
      <c r="K99">
        <v>0</v>
      </c>
      <c r="L99">
        <v>1</v>
      </c>
      <c r="M99">
        <v>1</v>
      </c>
      <c r="N99">
        <v>3</v>
      </c>
      <c r="O99">
        <v>0</v>
      </c>
      <c r="P99">
        <v>99351</v>
      </c>
      <c r="Q99">
        <v>0</v>
      </c>
      <c r="R99">
        <v>26</v>
      </c>
      <c r="S99" t="s">
        <v>132</v>
      </c>
      <c r="T99" t="s">
        <v>45</v>
      </c>
      <c r="U99">
        <v>2050</v>
      </c>
      <c r="V99" s="1">
        <v>28961</v>
      </c>
      <c r="W99" t="s">
        <v>68</v>
      </c>
      <c r="X99" t="s">
        <v>59</v>
      </c>
      <c r="Y99" t="s">
        <v>48</v>
      </c>
      <c r="Z99" t="s">
        <v>241</v>
      </c>
      <c r="AA99" t="s">
        <v>50</v>
      </c>
      <c r="AB99" s="1">
        <v>39818</v>
      </c>
      <c r="AD99" t="s">
        <v>51</v>
      </c>
      <c r="AE99" t="s">
        <v>52</v>
      </c>
      <c r="AF99" t="s">
        <v>133</v>
      </c>
      <c r="AG99" t="s">
        <v>242</v>
      </c>
      <c r="AH99">
        <v>9</v>
      </c>
      <c r="AI99" t="s">
        <v>243</v>
      </c>
      <c r="AJ99" t="s">
        <v>65</v>
      </c>
      <c r="AK99">
        <v>5</v>
      </c>
      <c r="AL99">
        <v>3</v>
      </c>
      <c r="AM99">
        <v>2</v>
      </c>
      <c r="AN99" s="1">
        <v>43504</v>
      </c>
      <c r="AO99">
        <v>0</v>
      </c>
      <c r="AP99">
        <v>3</v>
      </c>
    </row>
    <row r="100" spans="1:42">
      <c r="A100" t="s">
        <v>244</v>
      </c>
      <c r="B100" t="str">
        <f t="shared" si="3"/>
        <v>Maruk</v>
      </c>
      <c r="C100" t="str">
        <f t="shared" si="4"/>
        <v>Fraval</v>
      </c>
      <c r="D100">
        <f t="shared" ca="1" si="5"/>
        <v>14</v>
      </c>
      <c r="E100" t="str" cm="1">
        <f t="array" ref="E100">_xlfn.IFS(P100&lt;40000, "Low", P100&lt;70000, "MID", P100&lt;100000, "HIGH", P100&gt;=100000, "Executive")</f>
        <v>MID</v>
      </c>
      <c r="F100" t="str" cm="1">
        <f t="array" ref="F100">_xlfn.IFS(AJ100="Exceeds", "Top Performer", AJ100="Fully Meets", "Solid Performer", AJ100="Needs Improvement", "Underperformer", AJ100="PIP", "At Risk")</f>
        <v>Solid Performer</v>
      </c>
      <c r="G100" t="str" cm="1">
        <f t="array" ref="G100">_xlfn.IFS(AE100="Active", "Retained", AE100="Voluntarily Terminated", "Voluntary Exit", AE100="Terminated for Cause", "Involuntary Exit")</f>
        <v>Retained</v>
      </c>
      <c r="H100">
        <v>10258</v>
      </c>
      <c r="I100">
        <v>0</v>
      </c>
      <c r="J100">
        <v>0</v>
      </c>
      <c r="K100">
        <v>1</v>
      </c>
      <c r="L100">
        <v>1</v>
      </c>
      <c r="M100">
        <v>6</v>
      </c>
      <c r="N100">
        <v>3</v>
      </c>
      <c r="O100">
        <v>0</v>
      </c>
      <c r="P100">
        <v>67251</v>
      </c>
      <c r="Q100">
        <v>0</v>
      </c>
      <c r="R100">
        <v>3</v>
      </c>
      <c r="S100" t="s">
        <v>146</v>
      </c>
      <c r="T100" t="s">
        <v>129</v>
      </c>
      <c r="U100">
        <v>6050</v>
      </c>
      <c r="V100" s="1">
        <v>23251</v>
      </c>
      <c r="W100" t="s">
        <v>46</v>
      </c>
      <c r="X100" t="s">
        <v>47</v>
      </c>
      <c r="Y100" t="s">
        <v>48</v>
      </c>
      <c r="Z100" t="s">
        <v>49</v>
      </c>
      <c r="AA100" t="s">
        <v>89</v>
      </c>
      <c r="AB100" s="1">
        <v>40792</v>
      </c>
      <c r="AD100" t="s">
        <v>51</v>
      </c>
      <c r="AE100" t="s">
        <v>52</v>
      </c>
      <c r="AF100" t="s">
        <v>148</v>
      </c>
      <c r="AG100" t="s">
        <v>167</v>
      </c>
      <c r="AH100">
        <v>21</v>
      </c>
      <c r="AI100" t="s">
        <v>124</v>
      </c>
      <c r="AJ100" t="s">
        <v>65</v>
      </c>
      <c r="AK100">
        <v>4.3</v>
      </c>
      <c r="AL100">
        <v>3</v>
      </c>
      <c r="AM100">
        <v>0</v>
      </c>
      <c r="AN100" s="1">
        <v>43492</v>
      </c>
      <c r="AO100">
        <v>2</v>
      </c>
      <c r="AP100">
        <v>7</v>
      </c>
    </row>
    <row r="101" spans="1:42">
      <c r="A101" t="s">
        <v>245</v>
      </c>
      <c r="B101" t="str">
        <f t="shared" si="3"/>
        <v>Lisa</v>
      </c>
      <c r="C101" t="str">
        <f t="shared" si="4"/>
        <v>Galia</v>
      </c>
      <c r="D101">
        <f t="shared" ca="1" si="5"/>
        <v>15</v>
      </c>
      <c r="E101" t="str" cm="1">
        <f t="array" ref="E101">_xlfn.IFS(P101&lt;40000, "Low", P101&lt;70000, "MID", P101&lt;100000, "HIGH", P101&gt;=100000, "Executive")</f>
        <v>MID</v>
      </c>
      <c r="F101" t="str" cm="1">
        <f t="array" ref="F101">_xlfn.IFS(AJ101="Exceeds", "Top Performer", AJ101="Fully Meets", "Solid Performer", AJ101="Needs Improvement", "Underperformer", AJ101="PIP", "At Risk")</f>
        <v>Solid Performer</v>
      </c>
      <c r="G101" t="str" cm="1">
        <f t="array" ref="G101">_xlfn.IFS(AE101="Active", "Retained", AE101="Voluntarily Terminated", "Voluntary Exit", AE101="Terminated for Cause", "Involuntary Exit")</f>
        <v>Retained</v>
      </c>
      <c r="H101">
        <v>10273</v>
      </c>
      <c r="I101">
        <v>0</v>
      </c>
      <c r="J101">
        <v>0</v>
      </c>
      <c r="K101">
        <v>0</v>
      </c>
      <c r="L101">
        <v>1</v>
      </c>
      <c r="M101">
        <v>3</v>
      </c>
      <c r="N101">
        <v>3</v>
      </c>
      <c r="O101">
        <v>0</v>
      </c>
      <c r="P101">
        <v>65707</v>
      </c>
      <c r="Q101">
        <v>0</v>
      </c>
      <c r="R101">
        <v>14</v>
      </c>
      <c r="S101" t="s">
        <v>93</v>
      </c>
      <c r="T101" t="s">
        <v>129</v>
      </c>
      <c r="U101">
        <v>6040</v>
      </c>
      <c r="V101" s="1">
        <v>25025</v>
      </c>
      <c r="W101" t="s">
        <v>68</v>
      </c>
      <c r="X101" t="s">
        <v>47</v>
      </c>
      <c r="Y101" t="s">
        <v>48</v>
      </c>
      <c r="Z101" t="s">
        <v>49</v>
      </c>
      <c r="AA101" t="s">
        <v>50</v>
      </c>
      <c r="AB101" s="1">
        <v>40299</v>
      </c>
      <c r="AD101" t="s">
        <v>51</v>
      </c>
      <c r="AE101" t="s">
        <v>52</v>
      </c>
      <c r="AF101" t="s">
        <v>62</v>
      </c>
      <c r="AG101" t="s">
        <v>173</v>
      </c>
      <c r="AH101">
        <v>6</v>
      </c>
      <c r="AI101" t="s">
        <v>55</v>
      </c>
      <c r="AJ101" t="s">
        <v>65</v>
      </c>
      <c r="AK101">
        <v>4.7</v>
      </c>
      <c r="AL101">
        <v>4</v>
      </c>
      <c r="AM101">
        <v>5</v>
      </c>
      <c r="AN101" s="1">
        <v>43497</v>
      </c>
      <c r="AO101">
        <v>0</v>
      </c>
      <c r="AP101">
        <v>1</v>
      </c>
    </row>
    <row r="102" spans="1:42">
      <c r="A102" t="s">
        <v>246</v>
      </c>
      <c r="B102" t="str">
        <f t="shared" si="3"/>
        <v>Raul</v>
      </c>
      <c r="C102" t="str">
        <f t="shared" si="4"/>
        <v>Garcia</v>
      </c>
      <c r="D102">
        <f t="shared" ca="1" si="5"/>
        <v>11</v>
      </c>
      <c r="E102" t="str" cm="1">
        <f t="array" ref="E102">_xlfn.IFS(P102&lt;40000, "Low", P102&lt;70000, "MID", P102&lt;100000, "HIGH", P102&gt;=100000, "Executive")</f>
        <v>MID</v>
      </c>
      <c r="F102" t="str" cm="1">
        <f t="array" ref="F102">_xlfn.IFS(AJ102="Exceeds", "Top Performer", AJ102="Fully Meets", "Solid Performer", AJ102="Needs Improvement", "Underperformer", AJ102="PIP", "At Risk")</f>
        <v>Solid Performer</v>
      </c>
      <c r="G102" t="str" cm="1">
        <f t="array" ref="G102">_xlfn.IFS(AE102="Active", "Retained", AE102="Voluntarily Terminated", "Voluntary Exit", AE102="Terminated for Cause", "Involuntary Exit")</f>
        <v>Retained</v>
      </c>
      <c r="H102">
        <v>10111</v>
      </c>
      <c r="I102">
        <v>0</v>
      </c>
      <c r="J102">
        <v>0</v>
      </c>
      <c r="K102">
        <v>1</v>
      </c>
      <c r="L102">
        <v>1</v>
      </c>
      <c r="M102">
        <v>5</v>
      </c>
      <c r="N102">
        <v>3</v>
      </c>
      <c r="O102">
        <v>0</v>
      </c>
      <c r="P102">
        <v>52249</v>
      </c>
      <c r="Q102">
        <v>0</v>
      </c>
      <c r="R102">
        <v>19</v>
      </c>
      <c r="S102" t="s">
        <v>44</v>
      </c>
      <c r="T102" t="s">
        <v>45</v>
      </c>
      <c r="U102">
        <v>1905</v>
      </c>
      <c r="V102" s="1">
        <v>31305</v>
      </c>
      <c r="W102" t="s">
        <v>46</v>
      </c>
      <c r="X102" t="s">
        <v>47</v>
      </c>
      <c r="Y102" t="s">
        <v>48</v>
      </c>
      <c r="Z102" t="s">
        <v>96</v>
      </c>
      <c r="AA102" t="s">
        <v>50</v>
      </c>
      <c r="AB102" s="1">
        <v>42093</v>
      </c>
      <c r="AD102" t="s">
        <v>51</v>
      </c>
      <c r="AE102" t="s">
        <v>52</v>
      </c>
      <c r="AF102" t="s">
        <v>53</v>
      </c>
      <c r="AG102" t="s">
        <v>98</v>
      </c>
      <c r="AH102">
        <v>14</v>
      </c>
      <c r="AI102" t="s">
        <v>87</v>
      </c>
      <c r="AJ102" t="s">
        <v>65</v>
      </c>
      <c r="AK102">
        <v>4.5</v>
      </c>
      <c r="AL102">
        <v>3</v>
      </c>
      <c r="AM102">
        <v>0</v>
      </c>
      <c r="AN102" s="1">
        <v>43514</v>
      </c>
      <c r="AO102">
        <v>0</v>
      </c>
      <c r="AP102">
        <v>5</v>
      </c>
    </row>
    <row r="103" spans="1:42">
      <c r="A103" t="s">
        <v>247</v>
      </c>
      <c r="B103" t="str">
        <f t="shared" si="3"/>
        <v>Barbara</v>
      </c>
      <c r="C103" t="str">
        <f t="shared" si="4"/>
        <v>Gaul</v>
      </c>
      <c r="D103">
        <f t="shared" ca="1" si="5"/>
        <v>14</v>
      </c>
      <c r="E103" t="str" cm="1">
        <f t="array" ref="E103">_xlfn.IFS(P103&lt;40000, "Low", P103&lt;70000, "MID", P103&lt;100000, "HIGH", P103&gt;=100000, "Executive")</f>
        <v>MID</v>
      </c>
      <c r="F103" t="str" cm="1">
        <f t="array" ref="F103">_xlfn.IFS(AJ103="Exceeds", "Top Performer", AJ103="Fully Meets", "Solid Performer", AJ103="Needs Improvement", "Underperformer", AJ103="PIP", "At Risk")</f>
        <v>Solid Performer</v>
      </c>
      <c r="G103" t="str" cm="1">
        <f t="array" ref="G103">_xlfn.IFS(AE103="Active", "Retained", AE103="Voluntarily Terminated", "Voluntary Exit", AE103="Terminated for Cause", "Involuntary Exit")</f>
        <v>Retained</v>
      </c>
      <c r="H103">
        <v>10257</v>
      </c>
      <c r="I103">
        <v>0</v>
      </c>
      <c r="J103">
        <v>0</v>
      </c>
      <c r="K103">
        <v>0</v>
      </c>
      <c r="L103">
        <v>1</v>
      </c>
      <c r="M103">
        <v>5</v>
      </c>
      <c r="N103">
        <v>3</v>
      </c>
      <c r="O103">
        <v>0</v>
      </c>
      <c r="P103">
        <v>53171</v>
      </c>
      <c r="Q103">
        <v>0</v>
      </c>
      <c r="R103">
        <v>19</v>
      </c>
      <c r="S103" t="s">
        <v>44</v>
      </c>
      <c r="T103" t="s">
        <v>45</v>
      </c>
      <c r="U103">
        <v>2121</v>
      </c>
      <c r="V103" s="1">
        <v>30652</v>
      </c>
      <c r="W103" t="s">
        <v>68</v>
      </c>
      <c r="X103" t="s">
        <v>47</v>
      </c>
      <c r="Y103" t="s">
        <v>48</v>
      </c>
      <c r="Z103" t="s">
        <v>96</v>
      </c>
      <c r="AA103" t="s">
        <v>89</v>
      </c>
      <c r="AB103" s="1">
        <v>40679</v>
      </c>
      <c r="AD103" t="s">
        <v>51</v>
      </c>
      <c r="AE103" t="s">
        <v>52</v>
      </c>
      <c r="AF103" t="s">
        <v>53</v>
      </c>
      <c r="AG103" t="s">
        <v>106</v>
      </c>
      <c r="AH103">
        <v>18</v>
      </c>
      <c r="AI103" t="s">
        <v>55</v>
      </c>
      <c r="AJ103" t="s">
        <v>65</v>
      </c>
      <c r="AK103">
        <v>4.2</v>
      </c>
      <c r="AL103">
        <v>4</v>
      </c>
      <c r="AM103">
        <v>0</v>
      </c>
      <c r="AN103" s="1">
        <v>43522</v>
      </c>
      <c r="AO103">
        <v>0</v>
      </c>
      <c r="AP103">
        <v>12</v>
      </c>
    </row>
    <row r="104" spans="1:42">
      <c r="A104" t="s">
        <v>248</v>
      </c>
      <c r="B104" t="str">
        <f t="shared" si="3"/>
        <v>Mildred</v>
      </c>
      <c r="C104" t="str">
        <f t="shared" si="4"/>
        <v>Gentry</v>
      </c>
      <c r="D104">
        <f t="shared" ca="1" si="5"/>
        <v>11</v>
      </c>
      <c r="E104" t="str" cm="1">
        <f t="array" ref="E104">_xlfn.IFS(P104&lt;40000, "Low", P104&lt;70000, "MID", P104&lt;100000, "HIGH", P104&gt;=100000, "Executive")</f>
        <v>MID</v>
      </c>
      <c r="F104" t="str" cm="1">
        <f t="array" ref="F104">_xlfn.IFS(AJ104="Exceeds", "Top Performer", AJ104="Fully Meets", "Solid Performer", AJ104="Needs Improvement", "Underperformer", AJ104="PIP", "At Risk")</f>
        <v>Solid Performer</v>
      </c>
      <c r="G104" t="str" cm="1">
        <f t="array" ref="G104">_xlfn.IFS(AE104="Active", "Retained", AE104="Voluntarily Terminated", "Voluntary Exit", AE104="Terminated for Cause", "Involuntary Exit")</f>
        <v>Retained</v>
      </c>
      <c r="H104">
        <v>10159</v>
      </c>
      <c r="I104">
        <v>1</v>
      </c>
      <c r="J104">
        <v>1</v>
      </c>
      <c r="K104">
        <v>0</v>
      </c>
      <c r="L104">
        <v>1</v>
      </c>
      <c r="M104">
        <v>5</v>
      </c>
      <c r="N104">
        <v>3</v>
      </c>
      <c r="O104">
        <v>0</v>
      </c>
      <c r="P104">
        <v>51337</v>
      </c>
      <c r="Q104">
        <v>0</v>
      </c>
      <c r="R104">
        <v>19</v>
      </c>
      <c r="S104" t="s">
        <v>44</v>
      </c>
      <c r="T104" t="s">
        <v>45</v>
      </c>
      <c r="U104">
        <v>2145</v>
      </c>
      <c r="V104" s="1">
        <v>33147</v>
      </c>
      <c r="W104" t="s">
        <v>68</v>
      </c>
      <c r="X104" t="s">
        <v>59</v>
      </c>
      <c r="Y104" t="s">
        <v>48</v>
      </c>
      <c r="Z104" t="s">
        <v>49</v>
      </c>
      <c r="AA104" t="s">
        <v>89</v>
      </c>
      <c r="AB104" s="1">
        <v>42093</v>
      </c>
      <c r="AD104" t="s">
        <v>51</v>
      </c>
      <c r="AE104" t="s">
        <v>52</v>
      </c>
      <c r="AF104" t="s">
        <v>53</v>
      </c>
      <c r="AG104" t="s">
        <v>54</v>
      </c>
      <c r="AH104">
        <v>22</v>
      </c>
      <c r="AI104" t="s">
        <v>55</v>
      </c>
      <c r="AJ104" t="s">
        <v>65</v>
      </c>
      <c r="AK104">
        <v>3.73</v>
      </c>
      <c r="AL104">
        <v>3</v>
      </c>
      <c r="AM104">
        <v>0</v>
      </c>
      <c r="AN104" s="1">
        <v>43481</v>
      </c>
      <c r="AO104">
        <v>0</v>
      </c>
      <c r="AP104">
        <v>19</v>
      </c>
    </row>
    <row r="105" spans="1:42">
      <c r="A105" t="s">
        <v>249</v>
      </c>
      <c r="B105" t="str">
        <f t="shared" si="3"/>
        <v>Melisa</v>
      </c>
      <c r="C105" t="str">
        <f t="shared" si="4"/>
        <v>Gerke</v>
      </c>
      <c r="D105">
        <f t="shared" ca="1" si="5"/>
        <v>5</v>
      </c>
      <c r="E105" t="str" cm="1">
        <f t="array" ref="E105">_xlfn.IFS(P105&lt;40000, "Low", P105&lt;70000, "MID", P105&lt;100000, "HIGH", P105&gt;=100000, "Executive")</f>
        <v>MID</v>
      </c>
      <c r="F105" t="str" cm="1">
        <f t="array" ref="F105">_xlfn.IFS(AJ105="Exceeds", "Top Performer", AJ105="Fully Meets", "Solid Performer", AJ105="Needs Improvement", "Underperformer", AJ105="PIP", "At Risk")</f>
        <v>Solid Performer</v>
      </c>
      <c r="G105" t="str" cm="1">
        <f t="array" ref="G105">_xlfn.IFS(AE105="Active", "Retained", AE105="Voluntarily Terminated", "Voluntary Exit", AE105="Terminated for Cause", "Involuntary Exit")</f>
        <v>Voluntary Exit</v>
      </c>
      <c r="H105">
        <v>10122</v>
      </c>
      <c r="I105">
        <v>0</v>
      </c>
      <c r="J105">
        <v>2</v>
      </c>
      <c r="K105">
        <v>0</v>
      </c>
      <c r="L105">
        <v>5</v>
      </c>
      <c r="M105">
        <v>5</v>
      </c>
      <c r="N105">
        <v>3</v>
      </c>
      <c r="O105">
        <v>1</v>
      </c>
      <c r="P105">
        <v>51505</v>
      </c>
      <c r="Q105">
        <v>1</v>
      </c>
      <c r="R105">
        <v>19</v>
      </c>
      <c r="S105" t="s">
        <v>44</v>
      </c>
      <c r="T105" t="s">
        <v>45</v>
      </c>
      <c r="U105">
        <v>2330</v>
      </c>
      <c r="V105" s="1">
        <v>25703</v>
      </c>
      <c r="W105" t="s">
        <v>68</v>
      </c>
      <c r="X105" t="s">
        <v>74</v>
      </c>
      <c r="Y105" t="s">
        <v>48</v>
      </c>
      <c r="Z105" t="s">
        <v>49</v>
      </c>
      <c r="AA105" t="s">
        <v>89</v>
      </c>
      <c r="AB105" s="1">
        <v>40854</v>
      </c>
      <c r="AC105" s="1">
        <v>42689</v>
      </c>
      <c r="AD105" t="s">
        <v>69</v>
      </c>
      <c r="AE105" t="s">
        <v>61</v>
      </c>
      <c r="AF105" t="s">
        <v>53</v>
      </c>
      <c r="AG105" t="s">
        <v>72</v>
      </c>
      <c r="AH105">
        <v>16</v>
      </c>
      <c r="AI105" t="s">
        <v>91</v>
      </c>
      <c r="AJ105" t="s">
        <v>65</v>
      </c>
      <c r="AK105">
        <v>4.24</v>
      </c>
      <c r="AL105">
        <v>4</v>
      </c>
      <c r="AM105">
        <v>0</v>
      </c>
      <c r="AN105" s="1">
        <v>42489</v>
      </c>
      <c r="AO105">
        <v>0</v>
      </c>
      <c r="AP105">
        <v>2</v>
      </c>
    </row>
    <row r="106" spans="1:42">
      <c r="A106" t="s">
        <v>250</v>
      </c>
      <c r="B106" t="str">
        <f t="shared" si="3"/>
        <v>Whitney</v>
      </c>
      <c r="C106" t="str">
        <f t="shared" si="4"/>
        <v>Gill</v>
      </c>
      <c r="D106">
        <f t="shared" ca="1" si="5"/>
        <v>1</v>
      </c>
      <c r="E106" t="str" cm="1">
        <f t="array" ref="E106">_xlfn.IFS(P106&lt;40000, "Low", P106&lt;70000, "MID", P106&lt;100000, "HIGH", P106&gt;=100000, "Executive")</f>
        <v>MID</v>
      </c>
      <c r="F106" t="str" cm="1">
        <f t="array" ref="F106">_xlfn.IFS(AJ106="Exceeds", "Top Performer", AJ106="Fully Meets", "Solid Performer", AJ106="Needs Improvement", "Underperformer", AJ106="PIP", "At Risk")</f>
        <v>Solid Performer</v>
      </c>
      <c r="G106" t="str" cm="1">
        <f t="array" ref="G106">_xlfn.IFS(AE106="Active", "Retained", AE106="Voluntarily Terminated", "Voluntary Exit", AE106="Terminated for Cause", "Involuntary Exit")</f>
        <v>Involuntary Exit</v>
      </c>
      <c r="H106">
        <v>10142</v>
      </c>
      <c r="I106">
        <v>0</v>
      </c>
      <c r="J106">
        <v>4</v>
      </c>
      <c r="K106">
        <v>0</v>
      </c>
      <c r="L106">
        <v>4</v>
      </c>
      <c r="M106">
        <v>6</v>
      </c>
      <c r="N106">
        <v>3</v>
      </c>
      <c r="O106">
        <v>0</v>
      </c>
      <c r="P106">
        <v>59370</v>
      </c>
      <c r="Q106">
        <v>1</v>
      </c>
      <c r="R106">
        <v>3</v>
      </c>
      <c r="S106" t="s">
        <v>146</v>
      </c>
      <c r="T106" t="s">
        <v>251</v>
      </c>
      <c r="U106">
        <v>43050</v>
      </c>
      <c r="V106" s="1">
        <v>26124</v>
      </c>
      <c r="W106" t="s">
        <v>68</v>
      </c>
      <c r="X106" t="s">
        <v>85</v>
      </c>
      <c r="Y106" t="s">
        <v>48</v>
      </c>
      <c r="Z106" t="s">
        <v>49</v>
      </c>
      <c r="AA106" t="s">
        <v>89</v>
      </c>
      <c r="AB106" s="1">
        <v>41827</v>
      </c>
      <c r="AC106" s="1">
        <v>42252</v>
      </c>
      <c r="AD106" t="s">
        <v>110</v>
      </c>
      <c r="AE106" t="s">
        <v>111</v>
      </c>
      <c r="AF106" t="s">
        <v>148</v>
      </c>
      <c r="AG106" t="s">
        <v>149</v>
      </c>
      <c r="AH106">
        <v>17</v>
      </c>
      <c r="AI106" t="s">
        <v>124</v>
      </c>
      <c r="AJ106" t="s">
        <v>65</v>
      </c>
      <c r="AK106">
        <v>3.97</v>
      </c>
      <c r="AL106">
        <v>4</v>
      </c>
      <c r="AM106">
        <v>0</v>
      </c>
      <c r="AN106" s="1">
        <v>41654</v>
      </c>
      <c r="AO106">
        <v>0</v>
      </c>
      <c r="AP106">
        <v>7</v>
      </c>
    </row>
    <row r="107" spans="1:42">
      <c r="A107" t="s">
        <v>252</v>
      </c>
      <c r="B107" t="str">
        <f t="shared" si="3"/>
        <v>Alex</v>
      </c>
      <c r="C107" t="str">
        <f t="shared" si="4"/>
        <v>Gilles</v>
      </c>
      <c r="D107">
        <f t="shared" ca="1" si="5"/>
        <v>3</v>
      </c>
      <c r="E107" t="str" cm="1">
        <f t="array" ref="E107">_xlfn.IFS(P107&lt;40000, "Low", P107&lt;70000, "MID", P107&lt;100000, "HIGH", P107&gt;=100000, "Executive")</f>
        <v>MID</v>
      </c>
      <c r="F107" t="str" cm="1">
        <f t="array" ref="F107">_xlfn.IFS(AJ107="Exceeds", "Top Performer", AJ107="Fully Meets", "Solid Performer", AJ107="Needs Improvement", "Underperformer", AJ107="PIP", "At Risk")</f>
        <v>Underperformer</v>
      </c>
      <c r="G107" t="str" cm="1">
        <f t="array" ref="G107">_xlfn.IFS(AE107="Active", "Retained", AE107="Voluntarily Terminated", "Voluntary Exit", AE107="Terminated for Cause", "Involuntary Exit")</f>
        <v>Voluntary Exit</v>
      </c>
      <c r="H107">
        <v>10283</v>
      </c>
      <c r="I107">
        <v>1</v>
      </c>
      <c r="J107">
        <v>1</v>
      </c>
      <c r="K107">
        <v>1</v>
      </c>
      <c r="L107">
        <v>5</v>
      </c>
      <c r="M107">
        <v>5</v>
      </c>
      <c r="N107">
        <v>2</v>
      </c>
      <c r="O107">
        <v>1</v>
      </c>
      <c r="P107">
        <v>54933</v>
      </c>
      <c r="Q107">
        <v>1</v>
      </c>
      <c r="R107">
        <v>19</v>
      </c>
      <c r="S107" t="s">
        <v>44</v>
      </c>
      <c r="T107" t="s">
        <v>45</v>
      </c>
      <c r="U107">
        <v>2062</v>
      </c>
      <c r="V107" s="1">
        <v>27250</v>
      </c>
      <c r="W107" t="s">
        <v>46</v>
      </c>
      <c r="X107" t="s">
        <v>59</v>
      </c>
      <c r="Y107" t="s">
        <v>48</v>
      </c>
      <c r="Z107" t="s">
        <v>49</v>
      </c>
      <c r="AA107" t="s">
        <v>89</v>
      </c>
      <c r="AB107" s="1">
        <v>41001</v>
      </c>
      <c r="AC107" s="1">
        <v>42180</v>
      </c>
      <c r="AD107" t="s">
        <v>219</v>
      </c>
      <c r="AE107" t="s">
        <v>61</v>
      </c>
      <c r="AF107" t="s">
        <v>53</v>
      </c>
      <c r="AG107" t="s">
        <v>76</v>
      </c>
      <c r="AH107">
        <v>39</v>
      </c>
      <c r="AI107" t="s">
        <v>91</v>
      </c>
      <c r="AJ107" t="s">
        <v>125</v>
      </c>
      <c r="AK107">
        <v>3.97</v>
      </c>
      <c r="AL107">
        <v>4</v>
      </c>
      <c r="AM107">
        <v>0</v>
      </c>
      <c r="AN107" s="1">
        <v>42024</v>
      </c>
      <c r="AO107">
        <v>3</v>
      </c>
      <c r="AP107">
        <v>15</v>
      </c>
    </row>
    <row r="108" spans="1:42">
      <c r="A108" t="s">
        <v>253</v>
      </c>
      <c r="B108" t="str">
        <f t="shared" si="3"/>
        <v>Evelyn</v>
      </c>
      <c r="C108" t="str">
        <f t="shared" si="4"/>
        <v>Girifalco</v>
      </c>
      <c r="D108">
        <f t="shared" ca="1" si="5"/>
        <v>11</v>
      </c>
      <c r="E108" t="str" cm="1">
        <f t="array" ref="E108">_xlfn.IFS(P108&lt;40000, "Low", P108&lt;70000, "MID", P108&lt;100000, "HIGH", P108&gt;=100000, "Executive")</f>
        <v>MID</v>
      </c>
      <c r="F108" t="str" cm="1">
        <f t="array" ref="F108">_xlfn.IFS(AJ108="Exceeds", "Top Performer", AJ108="Fully Meets", "Solid Performer", AJ108="Needs Improvement", "Underperformer", AJ108="PIP", "At Risk")</f>
        <v>Top Performer</v>
      </c>
      <c r="G108" t="str" cm="1">
        <f t="array" ref="G108">_xlfn.IFS(AE108="Active", "Retained", AE108="Voluntarily Terminated", "Voluntary Exit", AE108="Terminated for Cause", "Involuntary Exit")</f>
        <v>Retained</v>
      </c>
      <c r="H108">
        <v>10018</v>
      </c>
      <c r="I108">
        <v>0</v>
      </c>
      <c r="J108">
        <v>0</v>
      </c>
      <c r="K108">
        <v>0</v>
      </c>
      <c r="L108">
        <v>1</v>
      </c>
      <c r="M108">
        <v>5</v>
      </c>
      <c r="N108">
        <v>4</v>
      </c>
      <c r="O108">
        <v>0</v>
      </c>
      <c r="P108">
        <v>57815</v>
      </c>
      <c r="Q108">
        <v>0</v>
      </c>
      <c r="R108">
        <v>19</v>
      </c>
      <c r="S108" t="s">
        <v>44</v>
      </c>
      <c r="T108" t="s">
        <v>45</v>
      </c>
      <c r="U108">
        <v>2451</v>
      </c>
      <c r="V108" s="1">
        <v>29349</v>
      </c>
      <c r="W108" t="s">
        <v>68</v>
      </c>
      <c r="X108" t="s">
        <v>47</v>
      </c>
      <c r="Y108" t="s">
        <v>48</v>
      </c>
      <c r="Z108" t="s">
        <v>96</v>
      </c>
      <c r="AA108" t="s">
        <v>105</v>
      </c>
      <c r="AB108" s="1">
        <v>41911</v>
      </c>
      <c r="AD108" t="s">
        <v>51</v>
      </c>
      <c r="AE108" t="s">
        <v>52</v>
      </c>
      <c r="AF108" t="s">
        <v>53</v>
      </c>
      <c r="AG108" t="s">
        <v>79</v>
      </c>
      <c r="AH108">
        <v>11</v>
      </c>
      <c r="AI108" t="s">
        <v>64</v>
      </c>
      <c r="AJ108" t="s">
        <v>56</v>
      </c>
      <c r="AK108">
        <v>3.9</v>
      </c>
      <c r="AL108">
        <v>4</v>
      </c>
      <c r="AM108">
        <v>0</v>
      </c>
      <c r="AN108" s="1">
        <v>43503</v>
      </c>
      <c r="AO108">
        <v>0</v>
      </c>
      <c r="AP108">
        <v>3</v>
      </c>
    </row>
    <row r="109" spans="1:42">
      <c r="A109" t="s">
        <v>254</v>
      </c>
      <c r="B109" t="str">
        <f t="shared" si="3"/>
        <v>Myriam</v>
      </c>
      <c r="C109" t="str">
        <f t="shared" si="4"/>
        <v>Givens</v>
      </c>
      <c r="D109">
        <f t="shared" ca="1" si="5"/>
        <v>11</v>
      </c>
      <c r="E109" t="str" cm="1">
        <f t="array" ref="E109">_xlfn.IFS(P109&lt;40000, "Low", P109&lt;70000, "MID", P109&lt;100000, "HIGH", P109&gt;=100000, "Executive")</f>
        <v>MID</v>
      </c>
      <c r="F109" t="str" cm="1">
        <f t="array" ref="F109">_xlfn.IFS(AJ109="Exceeds", "Top Performer", AJ109="Fully Meets", "Solid Performer", AJ109="Needs Improvement", "Underperformer", AJ109="PIP", "At Risk")</f>
        <v>Solid Performer</v>
      </c>
      <c r="G109" t="str" cm="1">
        <f t="array" ref="G109">_xlfn.IFS(AE109="Active", "Retained", AE109="Voluntarily Terminated", "Voluntary Exit", AE109="Terminated for Cause", "Involuntary Exit")</f>
        <v>Retained</v>
      </c>
      <c r="H109">
        <v>10255</v>
      </c>
      <c r="I109">
        <v>0</v>
      </c>
      <c r="J109">
        <v>0</v>
      </c>
      <c r="K109">
        <v>0</v>
      </c>
      <c r="L109">
        <v>1</v>
      </c>
      <c r="M109">
        <v>6</v>
      </c>
      <c r="N109">
        <v>3</v>
      </c>
      <c r="O109">
        <v>0</v>
      </c>
      <c r="P109">
        <v>61555</v>
      </c>
      <c r="Q109">
        <v>0</v>
      </c>
      <c r="R109">
        <v>3</v>
      </c>
      <c r="S109" t="s">
        <v>146</v>
      </c>
      <c r="T109" t="s">
        <v>255</v>
      </c>
      <c r="U109">
        <v>46204</v>
      </c>
      <c r="V109" s="1">
        <v>32773</v>
      </c>
      <c r="W109" t="s">
        <v>68</v>
      </c>
      <c r="X109" t="s">
        <v>47</v>
      </c>
      <c r="Y109" t="s">
        <v>48</v>
      </c>
      <c r="Z109" t="s">
        <v>49</v>
      </c>
      <c r="AA109" t="s">
        <v>50</v>
      </c>
      <c r="AB109" s="1">
        <v>42051</v>
      </c>
      <c r="AD109" t="s">
        <v>51</v>
      </c>
      <c r="AE109" t="s">
        <v>52</v>
      </c>
      <c r="AF109" t="s">
        <v>148</v>
      </c>
      <c r="AG109" t="s">
        <v>167</v>
      </c>
      <c r="AH109">
        <v>21</v>
      </c>
      <c r="AI109" t="s">
        <v>64</v>
      </c>
      <c r="AJ109" t="s">
        <v>65</v>
      </c>
      <c r="AK109">
        <v>4.5</v>
      </c>
      <c r="AL109">
        <v>5</v>
      </c>
      <c r="AM109">
        <v>0</v>
      </c>
      <c r="AN109" s="1">
        <v>43490</v>
      </c>
      <c r="AO109">
        <v>0</v>
      </c>
      <c r="AP109">
        <v>20</v>
      </c>
    </row>
    <row r="110" spans="1:42">
      <c r="A110" t="s">
        <v>256</v>
      </c>
      <c r="B110" t="str">
        <f t="shared" si="3"/>
        <v>Taisha</v>
      </c>
      <c r="C110" t="str">
        <f t="shared" si="4"/>
        <v>Goble</v>
      </c>
      <c r="D110">
        <f t="shared" ca="1" si="5"/>
        <v>0</v>
      </c>
      <c r="E110" t="str" cm="1">
        <f t="array" ref="E110">_xlfn.IFS(P110&lt;40000, "Low", P110&lt;70000, "MID", P110&lt;100000, "HIGH", P110&gt;=100000, "Executive")</f>
        <v>Executive</v>
      </c>
      <c r="F110" t="str" cm="1">
        <f t="array" ref="F110">_xlfn.IFS(AJ110="Exceeds", "Top Performer", AJ110="Fully Meets", "Solid Performer", AJ110="Needs Improvement", "Underperformer", AJ110="PIP", "At Risk")</f>
        <v>Solid Performer</v>
      </c>
      <c r="G110" t="str" cm="1">
        <f t="array" ref="G110">_xlfn.IFS(AE110="Active", "Retained", AE110="Voluntarily Terminated", "Voluntary Exit", AE110="Terminated for Cause", "Involuntary Exit")</f>
        <v>Involuntary Exit</v>
      </c>
      <c r="H110">
        <v>10246</v>
      </c>
      <c r="I110">
        <v>0</v>
      </c>
      <c r="J110">
        <v>0</v>
      </c>
      <c r="K110">
        <v>0</v>
      </c>
      <c r="L110">
        <v>4</v>
      </c>
      <c r="M110">
        <v>3</v>
      </c>
      <c r="N110">
        <v>3</v>
      </c>
      <c r="O110">
        <v>0</v>
      </c>
      <c r="P110">
        <v>114800</v>
      </c>
      <c r="Q110">
        <v>1</v>
      </c>
      <c r="R110">
        <v>8</v>
      </c>
      <c r="S110" t="s">
        <v>116</v>
      </c>
      <c r="T110" t="s">
        <v>45</v>
      </c>
      <c r="U110">
        <v>2127</v>
      </c>
      <c r="V110" s="1">
        <v>26229</v>
      </c>
      <c r="W110" t="s">
        <v>68</v>
      </c>
      <c r="X110" t="s">
        <v>47</v>
      </c>
      <c r="Y110" t="s">
        <v>48</v>
      </c>
      <c r="Z110" t="s">
        <v>49</v>
      </c>
      <c r="AA110" t="s">
        <v>50</v>
      </c>
      <c r="AB110" s="1">
        <v>42051</v>
      </c>
      <c r="AC110" s="1">
        <v>42078</v>
      </c>
      <c r="AD110" t="s">
        <v>225</v>
      </c>
      <c r="AE110" t="s">
        <v>111</v>
      </c>
      <c r="AF110" t="s">
        <v>62</v>
      </c>
      <c r="AG110" t="s">
        <v>63</v>
      </c>
      <c r="AH110">
        <v>4</v>
      </c>
      <c r="AI110" t="s">
        <v>64</v>
      </c>
      <c r="AJ110" t="s">
        <v>65</v>
      </c>
      <c r="AK110">
        <v>4.5999999999999996</v>
      </c>
      <c r="AL110">
        <v>4</v>
      </c>
      <c r="AM110">
        <v>4</v>
      </c>
      <c r="AN110" s="1">
        <v>42024</v>
      </c>
      <c r="AO110">
        <v>0</v>
      </c>
      <c r="AP110">
        <v>10</v>
      </c>
    </row>
    <row r="111" spans="1:42">
      <c r="A111" t="s">
        <v>257</v>
      </c>
      <c r="B111" t="str">
        <f t="shared" si="3"/>
        <v>Amon</v>
      </c>
      <c r="C111" t="str">
        <f t="shared" si="4"/>
        <v>Goeth</v>
      </c>
      <c r="D111">
        <f t="shared" ca="1" si="5"/>
        <v>11</v>
      </c>
      <c r="E111" t="str" cm="1">
        <f t="array" ref="E111">_xlfn.IFS(P111&lt;40000, "Low", P111&lt;70000, "MID", P111&lt;100000, "HIGH", P111&gt;=100000, "Executive")</f>
        <v>HIGH</v>
      </c>
      <c r="F111" t="str" cm="1">
        <f t="array" ref="F111">_xlfn.IFS(AJ111="Exceeds", "Top Performer", AJ111="Fully Meets", "Solid Performer", AJ111="Needs Improvement", "Underperformer", AJ111="PIP", "At Risk")</f>
        <v>Solid Performer</v>
      </c>
      <c r="G111" t="str" cm="1">
        <f t="array" ref="G111">_xlfn.IFS(AE111="Active", "Retained", AE111="Voluntarily Terminated", "Voluntary Exit", AE111="Terminated for Cause", "Involuntary Exit")</f>
        <v>Retained</v>
      </c>
      <c r="H111">
        <v>10228</v>
      </c>
      <c r="I111">
        <v>1</v>
      </c>
      <c r="J111">
        <v>1</v>
      </c>
      <c r="K111">
        <v>1</v>
      </c>
      <c r="L111">
        <v>1</v>
      </c>
      <c r="M111">
        <v>3</v>
      </c>
      <c r="N111">
        <v>3</v>
      </c>
      <c r="O111">
        <v>0</v>
      </c>
      <c r="P111">
        <v>74679</v>
      </c>
      <c r="Q111">
        <v>0</v>
      </c>
      <c r="R111">
        <v>14</v>
      </c>
      <c r="S111" t="s">
        <v>93</v>
      </c>
      <c r="T111" t="s">
        <v>45</v>
      </c>
      <c r="U111">
        <v>2135</v>
      </c>
      <c r="V111" s="1">
        <v>32836</v>
      </c>
      <c r="W111" t="s">
        <v>46</v>
      </c>
      <c r="X111" t="s">
        <v>59</v>
      </c>
      <c r="Y111" t="s">
        <v>48</v>
      </c>
      <c r="Z111" t="s">
        <v>96</v>
      </c>
      <c r="AA111" t="s">
        <v>50</v>
      </c>
      <c r="AB111" s="1">
        <v>42093</v>
      </c>
      <c r="AD111" t="s">
        <v>51</v>
      </c>
      <c r="AE111" t="s">
        <v>52</v>
      </c>
      <c r="AF111" t="s">
        <v>62</v>
      </c>
      <c r="AG111" t="s">
        <v>94</v>
      </c>
      <c r="AH111">
        <v>7</v>
      </c>
      <c r="AI111" t="s">
        <v>55</v>
      </c>
      <c r="AJ111" t="s">
        <v>65</v>
      </c>
      <c r="AK111">
        <v>4.3</v>
      </c>
      <c r="AL111">
        <v>5</v>
      </c>
      <c r="AM111">
        <v>7</v>
      </c>
      <c r="AN111" s="1">
        <v>43475</v>
      </c>
      <c r="AO111">
        <v>0</v>
      </c>
      <c r="AP111">
        <v>20</v>
      </c>
    </row>
    <row r="112" spans="1:42">
      <c r="A112" t="s">
        <v>258</v>
      </c>
      <c r="B112" t="str">
        <f t="shared" si="3"/>
        <v>Shenice</v>
      </c>
      <c r="C112" t="str">
        <f t="shared" si="4"/>
        <v>Gold</v>
      </c>
      <c r="D112">
        <f t="shared" ca="1" si="5"/>
        <v>12</v>
      </c>
      <c r="E112" t="str" cm="1">
        <f t="array" ref="E112">_xlfn.IFS(P112&lt;40000, "Low", P112&lt;70000, "MID", P112&lt;100000, "HIGH", P112&gt;=100000, "Executive")</f>
        <v>MID</v>
      </c>
      <c r="F112" t="str" cm="1">
        <f t="array" ref="F112">_xlfn.IFS(AJ112="Exceeds", "Top Performer", AJ112="Fully Meets", "Solid Performer", AJ112="Needs Improvement", "Underperformer", AJ112="PIP", "At Risk")</f>
        <v>Solid Performer</v>
      </c>
      <c r="G112" t="str" cm="1">
        <f t="array" ref="G112">_xlfn.IFS(AE112="Active", "Retained", AE112="Voluntarily Terminated", "Voluntary Exit", AE112="Terminated for Cause", "Involuntary Exit")</f>
        <v>Retained</v>
      </c>
      <c r="H112">
        <v>10243</v>
      </c>
      <c r="I112">
        <v>0</v>
      </c>
      <c r="J112">
        <v>0</v>
      </c>
      <c r="K112">
        <v>0</v>
      </c>
      <c r="L112">
        <v>1</v>
      </c>
      <c r="M112">
        <v>5</v>
      </c>
      <c r="N112">
        <v>3</v>
      </c>
      <c r="O112">
        <v>0</v>
      </c>
      <c r="P112">
        <v>53018</v>
      </c>
      <c r="Q112">
        <v>0</v>
      </c>
      <c r="R112">
        <v>19</v>
      </c>
      <c r="S112" t="s">
        <v>44</v>
      </c>
      <c r="T112" t="s">
        <v>45</v>
      </c>
      <c r="U112">
        <v>2451</v>
      </c>
      <c r="V112" s="1">
        <v>33773</v>
      </c>
      <c r="W112" t="s">
        <v>68</v>
      </c>
      <c r="X112" t="s">
        <v>47</v>
      </c>
      <c r="Y112" t="s">
        <v>48</v>
      </c>
      <c r="Z112" t="s">
        <v>96</v>
      </c>
      <c r="AA112" t="s">
        <v>50</v>
      </c>
      <c r="AB112" s="1">
        <v>41589</v>
      </c>
      <c r="AD112" t="s">
        <v>51</v>
      </c>
      <c r="AE112" t="s">
        <v>52</v>
      </c>
      <c r="AF112" t="s">
        <v>53</v>
      </c>
      <c r="AG112" t="s">
        <v>86</v>
      </c>
      <c r="AH112">
        <v>19</v>
      </c>
      <c r="AI112" t="s">
        <v>64</v>
      </c>
      <c r="AJ112" t="s">
        <v>65</v>
      </c>
      <c r="AK112">
        <v>4.3</v>
      </c>
      <c r="AL112">
        <v>5</v>
      </c>
      <c r="AM112">
        <v>0</v>
      </c>
      <c r="AN112" s="1">
        <v>43514</v>
      </c>
      <c r="AO112">
        <v>0</v>
      </c>
      <c r="AP112">
        <v>7</v>
      </c>
    </row>
    <row r="113" spans="1:42">
      <c r="A113" t="s">
        <v>259</v>
      </c>
      <c r="B113" t="str">
        <f t="shared" si="3"/>
        <v>Cayo</v>
      </c>
      <c r="C113" t="str">
        <f t="shared" si="4"/>
        <v>Gonzalez</v>
      </c>
      <c r="D113">
        <f t="shared" ca="1" si="5"/>
        <v>14</v>
      </c>
      <c r="E113" t="str" cm="1">
        <f t="array" ref="E113">_xlfn.IFS(P113&lt;40000, "Low", P113&lt;70000, "MID", P113&lt;100000, "HIGH", P113&gt;=100000, "Executive")</f>
        <v>MID</v>
      </c>
      <c r="F113" t="str" cm="1">
        <f t="array" ref="F113">_xlfn.IFS(AJ113="Exceeds", "Top Performer", AJ113="Fully Meets", "Solid Performer", AJ113="Needs Improvement", "Underperformer", AJ113="PIP", "At Risk")</f>
        <v>Top Performer</v>
      </c>
      <c r="G113" t="str" cm="1">
        <f t="array" ref="G113">_xlfn.IFS(AE113="Active", "Retained", AE113="Voluntarily Terminated", "Voluntary Exit", AE113="Terminated for Cause", "Involuntary Exit")</f>
        <v>Retained</v>
      </c>
      <c r="H113">
        <v>10031</v>
      </c>
      <c r="I113">
        <v>0</v>
      </c>
      <c r="J113">
        <v>2</v>
      </c>
      <c r="K113">
        <v>1</v>
      </c>
      <c r="L113">
        <v>1</v>
      </c>
      <c r="M113">
        <v>5</v>
      </c>
      <c r="N113">
        <v>4</v>
      </c>
      <c r="O113">
        <v>1</v>
      </c>
      <c r="P113">
        <v>59892</v>
      </c>
      <c r="Q113">
        <v>0</v>
      </c>
      <c r="R113">
        <v>19</v>
      </c>
      <c r="S113" t="s">
        <v>44</v>
      </c>
      <c r="T113" t="s">
        <v>45</v>
      </c>
      <c r="U113">
        <v>2108</v>
      </c>
      <c r="V113" s="1">
        <v>25475</v>
      </c>
      <c r="W113" t="s">
        <v>46</v>
      </c>
      <c r="X113" t="s">
        <v>74</v>
      </c>
      <c r="Y113" t="s">
        <v>48</v>
      </c>
      <c r="Z113" t="s">
        <v>49</v>
      </c>
      <c r="AA113" t="s">
        <v>89</v>
      </c>
      <c r="AB113" s="1">
        <v>40735</v>
      </c>
      <c r="AD113" t="s">
        <v>51</v>
      </c>
      <c r="AE113" t="s">
        <v>52</v>
      </c>
      <c r="AF113" t="s">
        <v>53</v>
      </c>
      <c r="AG113" t="s">
        <v>90</v>
      </c>
      <c r="AH113">
        <v>12</v>
      </c>
      <c r="AI113" t="s">
        <v>91</v>
      </c>
      <c r="AJ113" t="s">
        <v>56</v>
      </c>
      <c r="AK113">
        <v>4.5</v>
      </c>
      <c r="AL113">
        <v>4</v>
      </c>
      <c r="AM113">
        <v>0</v>
      </c>
      <c r="AN113" s="1">
        <v>43514</v>
      </c>
      <c r="AO113">
        <v>0</v>
      </c>
      <c r="AP113">
        <v>1</v>
      </c>
    </row>
    <row r="114" spans="1:42">
      <c r="A114" t="s">
        <v>260</v>
      </c>
      <c r="B114" t="str">
        <f t="shared" si="3"/>
        <v>Juan</v>
      </c>
      <c r="C114" t="str">
        <f t="shared" si="4"/>
        <v>Gonzalez</v>
      </c>
      <c r="D114">
        <f t="shared" ca="1" si="5"/>
        <v>1</v>
      </c>
      <c r="E114" t="str" cm="1">
        <f t="array" ref="E114">_xlfn.IFS(P114&lt;40000, "Low", P114&lt;70000, "MID", P114&lt;100000, "HIGH", P114&gt;=100000, "Executive")</f>
        <v>MID</v>
      </c>
      <c r="F114" t="str" cm="1">
        <f t="array" ref="F114">_xlfn.IFS(AJ114="Exceeds", "Top Performer", AJ114="Fully Meets", "Solid Performer", AJ114="Needs Improvement", "Underperformer", AJ114="PIP", "At Risk")</f>
        <v>At Risk</v>
      </c>
      <c r="G114" t="str" cm="1">
        <f t="array" ref="G114">_xlfn.IFS(AE114="Active", "Retained", AE114="Voluntarily Terminated", "Voluntary Exit", AE114="Terminated for Cause", "Involuntary Exit")</f>
        <v>Voluntary Exit</v>
      </c>
      <c r="H114">
        <v>10300</v>
      </c>
      <c r="I114">
        <v>1</v>
      </c>
      <c r="J114">
        <v>1</v>
      </c>
      <c r="K114">
        <v>1</v>
      </c>
      <c r="L114">
        <v>5</v>
      </c>
      <c r="M114">
        <v>5</v>
      </c>
      <c r="N114">
        <v>1</v>
      </c>
      <c r="O114">
        <v>1</v>
      </c>
      <c r="P114">
        <v>68898</v>
      </c>
      <c r="Q114">
        <v>1</v>
      </c>
      <c r="R114">
        <v>20</v>
      </c>
      <c r="S114" t="s">
        <v>67</v>
      </c>
      <c r="T114" t="s">
        <v>45</v>
      </c>
      <c r="U114">
        <v>2128</v>
      </c>
      <c r="V114" s="1">
        <v>23662</v>
      </c>
      <c r="W114" t="s">
        <v>46</v>
      </c>
      <c r="X114" t="s">
        <v>59</v>
      </c>
      <c r="Y114" t="s">
        <v>48</v>
      </c>
      <c r="Z114" t="s">
        <v>49</v>
      </c>
      <c r="AA114" t="s">
        <v>89</v>
      </c>
      <c r="AB114" s="1">
        <v>40294</v>
      </c>
      <c r="AC114" s="1">
        <v>40693</v>
      </c>
      <c r="AD114" t="s">
        <v>60</v>
      </c>
      <c r="AE114" t="s">
        <v>61</v>
      </c>
      <c r="AF114" t="s">
        <v>53</v>
      </c>
      <c r="AG114" t="s">
        <v>90</v>
      </c>
      <c r="AH114">
        <v>12</v>
      </c>
      <c r="AI114" t="s">
        <v>91</v>
      </c>
      <c r="AJ114" t="s">
        <v>198</v>
      </c>
      <c r="AK114">
        <v>3</v>
      </c>
      <c r="AL114">
        <v>3</v>
      </c>
      <c r="AM114">
        <v>0</v>
      </c>
      <c r="AN114" s="1">
        <v>40608</v>
      </c>
      <c r="AO114">
        <v>3</v>
      </c>
      <c r="AP114">
        <v>10</v>
      </c>
    </row>
    <row r="115" spans="1:42">
      <c r="A115" t="s">
        <v>261</v>
      </c>
      <c r="B115" t="str">
        <f t="shared" si="3"/>
        <v>Maria</v>
      </c>
      <c r="C115" t="str">
        <f t="shared" si="4"/>
        <v>Gonzalez</v>
      </c>
      <c r="D115">
        <f t="shared" ca="1" si="5"/>
        <v>11</v>
      </c>
      <c r="E115" t="str" cm="1">
        <f t="array" ref="E115">_xlfn.IFS(P115&lt;40000, "Low", P115&lt;70000, "MID", P115&lt;100000, "HIGH", P115&gt;=100000, "Executive")</f>
        <v>MID</v>
      </c>
      <c r="F115" t="str" cm="1">
        <f t="array" ref="F115">_xlfn.IFS(AJ115="Exceeds", "Top Performer", AJ115="Fully Meets", "Solid Performer", AJ115="Needs Improvement", "Underperformer", AJ115="PIP", "At Risk")</f>
        <v>Solid Performer</v>
      </c>
      <c r="G115" t="str" cm="1">
        <f t="array" ref="G115">_xlfn.IFS(AE115="Active", "Retained", AE115="Voluntarily Terminated", "Voluntary Exit", AE115="Terminated for Cause", "Involuntary Exit")</f>
        <v>Retained</v>
      </c>
      <c r="H115">
        <v>10101</v>
      </c>
      <c r="I115">
        <v>0</v>
      </c>
      <c r="J115">
        <v>3</v>
      </c>
      <c r="K115">
        <v>0</v>
      </c>
      <c r="L115">
        <v>1</v>
      </c>
      <c r="M115">
        <v>3</v>
      </c>
      <c r="N115">
        <v>3</v>
      </c>
      <c r="O115">
        <v>0</v>
      </c>
      <c r="P115">
        <v>61242</v>
      </c>
      <c r="Q115">
        <v>0</v>
      </c>
      <c r="R115">
        <v>14</v>
      </c>
      <c r="S115" t="s">
        <v>93</v>
      </c>
      <c r="T115" t="s">
        <v>45</v>
      </c>
      <c r="U115">
        <v>2472</v>
      </c>
      <c r="V115" s="1">
        <v>29692</v>
      </c>
      <c r="W115" t="s">
        <v>68</v>
      </c>
      <c r="X115" t="s">
        <v>144</v>
      </c>
      <c r="Y115" t="s">
        <v>48</v>
      </c>
      <c r="Z115" t="s">
        <v>96</v>
      </c>
      <c r="AA115" t="s">
        <v>50</v>
      </c>
      <c r="AB115" s="1">
        <v>42009</v>
      </c>
      <c r="AD115" t="s">
        <v>51</v>
      </c>
      <c r="AE115" t="s">
        <v>52</v>
      </c>
      <c r="AF115" t="s">
        <v>62</v>
      </c>
      <c r="AG115" t="s">
        <v>94</v>
      </c>
      <c r="AH115">
        <v>7</v>
      </c>
      <c r="AI115" t="s">
        <v>87</v>
      </c>
      <c r="AJ115" t="s">
        <v>65</v>
      </c>
      <c r="AK115">
        <v>4.6100000000000003</v>
      </c>
      <c r="AL115">
        <v>4</v>
      </c>
      <c r="AM115">
        <v>5</v>
      </c>
      <c r="AN115" s="1">
        <v>43493</v>
      </c>
      <c r="AO115">
        <v>0</v>
      </c>
      <c r="AP115">
        <v>11</v>
      </c>
    </row>
    <row r="116" spans="1:42">
      <c r="A116" t="s">
        <v>262</v>
      </c>
      <c r="B116" t="str">
        <f t="shared" si="3"/>
        <v>Susan</v>
      </c>
      <c r="C116" t="str">
        <f t="shared" si="4"/>
        <v>Good</v>
      </c>
      <c r="D116">
        <f t="shared" ca="1" si="5"/>
        <v>11</v>
      </c>
      <c r="E116" t="str" cm="1">
        <f t="array" ref="E116">_xlfn.IFS(P116&lt;40000, "Low", P116&lt;70000, "MID", P116&lt;100000, "HIGH", P116&gt;=100000, "Executive")</f>
        <v>MID</v>
      </c>
      <c r="F116" t="str" cm="1">
        <f t="array" ref="F116">_xlfn.IFS(AJ116="Exceeds", "Top Performer", AJ116="Fully Meets", "Solid Performer", AJ116="Needs Improvement", "Underperformer", AJ116="PIP", "At Risk")</f>
        <v>Solid Performer</v>
      </c>
      <c r="G116" t="str" cm="1">
        <f t="array" ref="G116">_xlfn.IFS(AE116="Active", "Retained", AE116="Voluntarily Terminated", "Voluntary Exit", AE116="Terminated for Cause", "Involuntary Exit")</f>
        <v>Retained</v>
      </c>
      <c r="H116">
        <v>10237</v>
      </c>
      <c r="I116">
        <v>1</v>
      </c>
      <c r="J116">
        <v>1</v>
      </c>
      <c r="K116">
        <v>0</v>
      </c>
      <c r="L116">
        <v>3</v>
      </c>
      <c r="M116">
        <v>5</v>
      </c>
      <c r="N116">
        <v>3</v>
      </c>
      <c r="O116">
        <v>0</v>
      </c>
      <c r="P116">
        <v>66825</v>
      </c>
      <c r="Q116">
        <v>0</v>
      </c>
      <c r="R116">
        <v>20</v>
      </c>
      <c r="S116" t="s">
        <v>67</v>
      </c>
      <c r="T116" t="s">
        <v>45</v>
      </c>
      <c r="U116">
        <v>1886</v>
      </c>
      <c r="V116" s="1">
        <v>31557</v>
      </c>
      <c r="W116" t="s">
        <v>68</v>
      </c>
      <c r="X116" t="s">
        <v>59</v>
      </c>
      <c r="Y116" t="s">
        <v>48</v>
      </c>
      <c r="Z116" t="s">
        <v>49</v>
      </c>
      <c r="AA116" t="s">
        <v>50</v>
      </c>
      <c r="AB116" s="1">
        <v>41771</v>
      </c>
      <c r="AD116" t="s">
        <v>51</v>
      </c>
      <c r="AE116" t="s">
        <v>52</v>
      </c>
      <c r="AF116" t="s">
        <v>53</v>
      </c>
      <c r="AG116" t="s">
        <v>98</v>
      </c>
      <c r="AH116">
        <v>14</v>
      </c>
      <c r="AI116" t="s">
        <v>55</v>
      </c>
      <c r="AJ116" t="s">
        <v>65</v>
      </c>
      <c r="AK116">
        <v>4.5999999999999996</v>
      </c>
      <c r="AL116">
        <v>3</v>
      </c>
      <c r="AM116">
        <v>0</v>
      </c>
      <c r="AN116" s="1">
        <v>43503</v>
      </c>
      <c r="AO116">
        <v>0</v>
      </c>
      <c r="AP116">
        <v>20</v>
      </c>
    </row>
    <row r="117" spans="1:42">
      <c r="A117" t="s">
        <v>263</v>
      </c>
      <c r="B117" t="str">
        <f t="shared" si="3"/>
        <v>David</v>
      </c>
      <c r="C117" t="str">
        <f t="shared" si="4"/>
        <v>Gordon</v>
      </c>
      <c r="D117">
        <f t="shared" ca="1" si="5"/>
        <v>13</v>
      </c>
      <c r="E117" t="str" cm="1">
        <f t="array" ref="E117">_xlfn.IFS(P117&lt;40000, "Low", P117&lt;70000, "MID", P117&lt;100000, "HIGH", P117&gt;=100000, "Executive")</f>
        <v>MID</v>
      </c>
      <c r="F117" t="str" cm="1">
        <f t="array" ref="F117">_xlfn.IFS(AJ117="Exceeds", "Top Performer", AJ117="Fully Meets", "Solid Performer", AJ117="Needs Improvement", "Underperformer", AJ117="PIP", "At Risk")</f>
        <v>Solid Performer</v>
      </c>
      <c r="G117" t="str" cm="1">
        <f t="array" ref="G117">_xlfn.IFS(AE117="Active", "Retained", AE117="Voluntarily Terminated", "Voluntary Exit", AE117="Terminated for Cause", "Involuntary Exit")</f>
        <v>Retained</v>
      </c>
      <c r="H117">
        <v>10051</v>
      </c>
      <c r="I117">
        <v>1</v>
      </c>
      <c r="J117">
        <v>1</v>
      </c>
      <c r="K117">
        <v>1</v>
      </c>
      <c r="L117">
        <v>1</v>
      </c>
      <c r="M117">
        <v>5</v>
      </c>
      <c r="N117">
        <v>3</v>
      </c>
      <c r="O117">
        <v>0</v>
      </c>
      <c r="P117">
        <v>48285</v>
      </c>
      <c r="Q117">
        <v>0</v>
      </c>
      <c r="R117">
        <v>19</v>
      </c>
      <c r="S117" t="s">
        <v>44</v>
      </c>
      <c r="T117" t="s">
        <v>45</v>
      </c>
      <c r="U117">
        <v>2169</v>
      </c>
      <c r="V117" s="1">
        <v>28996</v>
      </c>
      <c r="W117" t="s">
        <v>46</v>
      </c>
      <c r="X117" t="s">
        <v>59</v>
      </c>
      <c r="Y117" t="s">
        <v>48</v>
      </c>
      <c r="Z117" t="s">
        <v>49</v>
      </c>
      <c r="AA117" t="s">
        <v>50</v>
      </c>
      <c r="AB117" s="1">
        <v>41092</v>
      </c>
      <c r="AD117" t="s">
        <v>51</v>
      </c>
      <c r="AE117" t="s">
        <v>52</v>
      </c>
      <c r="AF117" t="s">
        <v>53</v>
      </c>
      <c r="AG117" t="s">
        <v>98</v>
      </c>
      <c r="AH117">
        <v>14</v>
      </c>
      <c r="AI117" t="s">
        <v>55</v>
      </c>
      <c r="AJ117" t="s">
        <v>65</v>
      </c>
      <c r="AK117">
        <v>5</v>
      </c>
      <c r="AL117">
        <v>3</v>
      </c>
      <c r="AM117">
        <v>0</v>
      </c>
      <c r="AN117" s="1">
        <v>43479</v>
      </c>
      <c r="AO117">
        <v>0</v>
      </c>
      <c r="AP117">
        <v>2</v>
      </c>
    </row>
    <row r="118" spans="1:42">
      <c r="A118" t="s">
        <v>264</v>
      </c>
      <c r="B118" t="str">
        <f t="shared" si="3"/>
        <v>Phylicia</v>
      </c>
      <c r="C118" t="str">
        <f t="shared" si="4"/>
        <v>Gosciminski</v>
      </c>
      <c r="D118">
        <f t="shared" ca="1" si="5"/>
        <v>12</v>
      </c>
      <c r="E118" t="str" cm="1">
        <f t="array" ref="E118">_xlfn.IFS(P118&lt;40000, "Low", P118&lt;70000, "MID", P118&lt;100000, "HIGH", P118&gt;=100000, "Executive")</f>
        <v>MID</v>
      </c>
      <c r="F118" t="str" cm="1">
        <f t="array" ref="F118">_xlfn.IFS(AJ118="Exceeds", "Top Performer", AJ118="Fully Meets", "Solid Performer", AJ118="Needs Improvement", "Underperformer", AJ118="PIP", "At Risk")</f>
        <v>Solid Performer</v>
      </c>
      <c r="G118" t="str" cm="1">
        <f t="array" ref="G118">_xlfn.IFS(AE118="Active", "Retained", AE118="Voluntarily Terminated", "Voluntary Exit", AE118="Terminated for Cause", "Involuntary Exit")</f>
        <v>Retained</v>
      </c>
      <c r="H118">
        <v>10218</v>
      </c>
      <c r="I118">
        <v>0</v>
      </c>
      <c r="J118">
        <v>3</v>
      </c>
      <c r="K118">
        <v>0</v>
      </c>
      <c r="L118">
        <v>3</v>
      </c>
      <c r="M118">
        <v>5</v>
      </c>
      <c r="N118">
        <v>3</v>
      </c>
      <c r="O118">
        <v>0</v>
      </c>
      <c r="P118">
        <v>66149</v>
      </c>
      <c r="Q118">
        <v>0</v>
      </c>
      <c r="R118">
        <v>20</v>
      </c>
      <c r="S118" t="s">
        <v>67</v>
      </c>
      <c r="T118" t="s">
        <v>45</v>
      </c>
      <c r="U118">
        <v>1824</v>
      </c>
      <c r="V118" s="1">
        <v>30658</v>
      </c>
      <c r="W118" t="s">
        <v>68</v>
      </c>
      <c r="X118" t="s">
        <v>144</v>
      </c>
      <c r="Y118" t="s">
        <v>48</v>
      </c>
      <c r="Z118" t="s">
        <v>49</v>
      </c>
      <c r="AA118" t="s">
        <v>265</v>
      </c>
      <c r="AB118" s="1">
        <v>41547</v>
      </c>
      <c r="AD118" t="s">
        <v>51</v>
      </c>
      <c r="AE118" t="s">
        <v>52</v>
      </c>
      <c r="AF118" t="s">
        <v>53</v>
      </c>
      <c r="AG118" t="s">
        <v>70</v>
      </c>
      <c r="AH118">
        <v>20</v>
      </c>
      <c r="AI118" t="s">
        <v>77</v>
      </c>
      <c r="AJ118" t="s">
        <v>65</v>
      </c>
      <c r="AK118">
        <v>4.4000000000000004</v>
      </c>
      <c r="AL118">
        <v>5</v>
      </c>
      <c r="AM118">
        <v>0</v>
      </c>
      <c r="AN118" s="1">
        <v>43517</v>
      </c>
      <c r="AO118">
        <v>0</v>
      </c>
      <c r="AP118">
        <v>1</v>
      </c>
    </row>
    <row r="119" spans="1:42">
      <c r="A119" t="s">
        <v>266</v>
      </c>
      <c r="B119" t="str">
        <f t="shared" si="3"/>
        <v>Roxana</v>
      </c>
      <c r="C119" t="str">
        <f t="shared" si="4"/>
        <v>Goyal</v>
      </c>
      <c r="D119">
        <f t="shared" ca="1" si="5"/>
        <v>12</v>
      </c>
      <c r="E119" t="str" cm="1">
        <f t="array" ref="E119">_xlfn.IFS(P119&lt;40000, "Low", P119&lt;70000, "MID", P119&lt;100000, "HIGH", P119&gt;=100000, "Executive")</f>
        <v>MID</v>
      </c>
      <c r="F119" t="str" cm="1">
        <f t="array" ref="F119">_xlfn.IFS(AJ119="Exceeds", "Top Performer", AJ119="Fully Meets", "Solid Performer", AJ119="Needs Improvement", "Underperformer", AJ119="PIP", "At Risk")</f>
        <v>Solid Performer</v>
      </c>
      <c r="G119" t="str" cm="1">
        <f t="array" ref="G119">_xlfn.IFS(AE119="Active", "Retained", AE119="Voluntarily Terminated", "Voluntary Exit", AE119="Terminated for Cause", "Involuntary Exit")</f>
        <v>Retained</v>
      </c>
      <c r="H119">
        <v>10256</v>
      </c>
      <c r="I119">
        <v>1</v>
      </c>
      <c r="J119">
        <v>1</v>
      </c>
      <c r="K119">
        <v>0</v>
      </c>
      <c r="L119">
        <v>3</v>
      </c>
      <c r="M119">
        <v>5</v>
      </c>
      <c r="N119">
        <v>3</v>
      </c>
      <c r="O119">
        <v>0</v>
      </c>
      <c r="P119">
        <v>49256</v>
      </c>
      <c r="Q119">
        <v>0</v>
      </c>
      <c r="R119">
        <v>19</v>
      </c>
      <c r="S119" t="s">
        <v>44</v>
      </c>
      <c r="T119" t="s">
        <v>45</v>
      </c>
      <c r="U119">
        <v>1864</v>
      </c>
      <c r="V119" s="1">
        <v>27311</v>
      </c>
      <c r="W119" t="s">
        <v>68</v>
      </c>
      <c r="X119" t="s">
        <v>59</v>
      </c>
      <c r="Y119" t="s">
        <v>48</v>
      </c>
      <c r="Z119" t="s">
        <v>49</v>
      </c>
      <c r="AA119" t="s">
        <v>119</v>
      </c>
      <c r="AB119" s="1">
        <v>41505</v>
      </c>
      <c r="AD119" t="s">
        <v>51</v>
      </c>
      <c r="AE119" t="s">
        <v>52</v>
      </c>
      <c r="AF119" t="s">
        <v>53</v>
      </c>
      <c r="AG119" t="s">
        <v>70</v>
      </c>
      <c r="AH119">
        <v>20</v>
      </c>
      <c r="AI119" t="s">
        <v>55</v>
      </c>
      <c r="AJ119" t="s">
        <v>65</v>
      </c>
      <c r="AK119">
        <v>4.0999999999999996</v>
      </c>
      <c r="AL119">
        <v>5</v>
      </c>
      <c r="AM119">
        <v>0</v>
      </c>
      <c r="AN119" s="1">
        <v>43511</v>
      </c>
      <c r="AO119">
        <v>0</v>
      </c>
      <c r="AP119">
        <v>3</v>
      </c>
    </row>
    <row r="120" spans="1:42">
      <c r="A120" t="s">
        <v>267</v>
      </c>
      <c r="B120" t="str">
        <f t="shared" si="3"/>
        <v>Elijiah</v>
      </c>
      <c r="C120" t="str">
        <f t="shared" si="4"/>
        <v>Gray</v>
      </c>
      <c r="D120">
        <f t="shared" ca="1" si="5"/>
        <v>10</v>
      </c>
      <c r="E120" t="str" cm="1">
        <f t="array" ref="E120">_xlfn.IFS(P120&lt;40000, "Low", P120&lt;70000, "MID", P120&lt;100000, "HIGH", P120&gt;=100000, "Executive")</f>
        <v>MID</v>
      </c>
      <c r="F120" t="str" cm="1">
        <f t="array" ref="F120">_xlfn.IFS(AJ120="Exceeds", "Top Performer", AJ120="Fully Meets", "Solid Performer", AJ120="Needs Improvement", "Underperformer", AJ120="PIP", "At Risk")</f>
        <v>Solid Performer</v>
      </c>
      <c r="G120" t="str" cm="1">
        <f t="array" ref="G120">_xlfn.IFS(AE120="Active", "Retained", AE120="Voluntarily Terminated", "Voluntary Exit", AE120="Terminated for Cause", "Involuntary Exit")</f>
        <v>Retained</v>
      </c>
      <c r="H120">
        <v>10098</v>
      </c>
      <c r="I120">
        <v>0</v>
      </c>
      <c r="J120">
        <v>2</v>
      </c>
      <c r="K120">
        <v>1</v>
      </c>
      <c r="L120">
        <v>1</v>
      </c>
      <c r="M120">
        <v>5</v>
      </c>
      <c r="N120">
        <v>3</v>
      </c>
      <c r="O120">
        <v>0</v>
      </c>
      <c r="P120">
        <v>62957</v>
      </c>
      <c r="Q120">
        <v>0</v>
      </c>
      <c r="R120">
        <v>18</v>
      </c>
      <c r="S120" t="s">
        <v>136</v>
      </c>
      <c r="T120" t="s">
        <v>45</v>
      </c>
      <c r="U120">
        <v>1752</v>
      </c>
      <c r="V120" s="1">
        <v>29778</v>
      </c>
      <c r="W120" t="s">
        <v>46</v>
      </c>
      <c r="X120" t="s">
        <v>74</v>
      </c>
      <c r="Y120" t="s">
        <v>48</v>
      </c>
      <c r="Z120" t="s">
        <v>49</v>
      </c>
      <c r="AA120" t="s">
        <v>50</v>
      </c>
      <c r="AB120" s="1">
        <v>42157</v>
      </c>
      <c r="AD120" t="s">
        <v>51</v>
      </c>
      <c r="AE120" t="s">
        <v>52</v>
      </c>
      <c r="AF120" t="s">
        <v>53</v>
      </c>
      <c r="AG120" t="s">
        <v>138</v>
      </c>
      <c r="AH120">
        <v>2</v>
      </c>
      <c r="AI120" t="s">
        <v>87</v>
      </c>
      <c r="AJ120" t="s">
        <v>65</v>
      </c>
      <c r="AK120">
        <v>4.63</v>
      </c>
      <c r="AL120">
        <v>3</v>
      </c>
      <c r="AM120">
        <v>0</v>
      </c>
      <c r="AN120" s="1">
        <v>43469</v>
      </c>
      <c r="AO120">
        <v>0</v>
      </c>
      <c r="AP120">
        <v>2</v>
      </c>
    </row>
    <row r="121" spans="1:42">
      <c r="A121" t="s">
        <v>268</v>
      </c>
      <c r="B121" t="str">
        <f t="shared" si="3"/>
        <v>Paula</v>
      </c>
      <c r="C121" t="str">
        <f t="shared" si="4"/>
        <v>Gross</v>
      </c>
      <c r="D121">
        <f t="shared" ca="1" si="5"/>
        <v>2</v>
      </c>
      <c r="E121" t="str" cm="1">
        <f t="array" ref="E121">_xlfn.IFS(P121&lt;40000, "Low", P121&lt;70000, "MID", P121&lt;100000, "HIGH", P121&gt;=100000, "Executive")</f>
        <v>MID</v>
      </c>
      <c r="F121" t="str" cm="1">
        <f t="array" ref="F121">_xlfn.IFS(AJ121="Exceeds", "Top Performer", AJ121="Fully Meets", "Solid Performer", AJ121="Needs Improvement", "Underperformer", AJ121="PIP", "At Risk")</f>
        <v>Solid Performer</v>
      </c>
      <c r="G121" t="str" cm="1">
        <f t="array" ref="G121">_xlfn.IFS(AE121="Active", "Retained", AE121="Voluntarily Terminated", "Voluntary Exit", AE121="Terminated for Cause", "Involuntary Exit")</f>
        <v>Voluntary Exit</v>
      </c>
      <c r="H121">
        <v>10059</v>
      </c>
      <c r="I121">
        <v>0</v>
      </c>
      <c r="J121">
        <v>2</v>
      </c>
      <c r="K121">
        <v>0</v>
      </c>
      <c r="L121">
        <v>5</v>
      </c>
      <c r="M121">
        <v>5</v>
      </c>
      <c r="N121">
        <v>3</v>
      </c>
      <c r="O121">
        <v>0</v>
      </c>
      <c r="P121">
        <v>63813</v>
      </c>
      <c r="Q121">
        <v>1</v>
      </c>
      <c r="R121">
        <v>19</v>
      </c>
      <c r="S121" t="s">
        <v>44</v>
      </c>
      <c r="T121" t="s">
        <v>45</v>
      </c>
      <c r="U121">
        <v>2176</v>
      </c>
      <c r="V121" s="1">
        <v>30457</v>
      </c>
      <c r="W121" t="s">
        <v>68</v>
      </c>
      <c r="X121" t="s">
        <v>74</v>
      </c>
      <c r="Y121" t="s">
        <v>48</v>
      </c>
      <c r="Z121" t="s">
        <v>49</v>
      </c>
      <c r="AA121" t="s">
        <v>50</v>
      </c>
      <c r="AB121" s="1">
        <v>40595</v>
      </c>
      <c r="AC121" s="1">
        <v>41650</v>
      </c>
      <c r="AD121" t="s">
        <v>200</v>
      </c>
      <c r="AE121" t="s">
        <v>61</v>
      </c>
      <c r="AF121" t="s">
        <v>53</v>
      </c>
      <c r="AG121" t="s">
        <v>106</v>
      </c>
      <c r="AH121">
        <v>18</v>
      </c>
      <c r="AI121" t="s">
        <v>124</v>
      </c>
      <c r="AJ121" t="s">
        <v>65</v>
      </c>
      <c r="AK121">
        <v>5</v>
      </c>
      <c r="AL121">
        <v>5</v>
      </c>
      <c r="AM121">
        <v>0</v>
      </c>
      <c r="AN121" s="1">
        <v>41428</v>
      </c>
      <c r="AO121">
        <v>0</v>
      </c>
      <c r="AP121">
        <v>17</v>
      </c>
    </row>
    <row r="122" spans="1:42">
      <c r="A122" t="s">
        <v>269</v>
      </c>
      <c r="B122" t="str">
        <f t="shared" si="3"/>
        <v>Hans</v>
      </c>
      <c r="C122" t="str">
        <f t="shared" si="4"/>
        <v>Gruber</v>
      </c>
      <c r="D122">
        <f t="shared" ca="1" si="5"/>
        <v>8</v>
      </c>
      <c r="E122" t="str" cm="1">
        <f t="array" ref="E122">_xlfn.IFS(P122&lt;40000, "Low", P122&lt;70000, "MID", P122&lt;100000, "HIGH", P122&gt;=100000, "Executive")</f>
        <v>HIGH</v>
      </c>
      <c r="F122" t="str" cm="1">
        <f t="array" ref="F122">_xlfn.IFS(AJ122="Exceeds", "Top Performer", AJ122="Fully Meets", "Solid Performer", AJ122="Needs Improvement", "Underperformer", AJ122="PIP", "At Risk")</f>
        <v>Solid Performer</v>
      </c>
      <c r="G122" t="str" cm="1">
        <f t="array" ref="G122">_xlfn.IFS(AE122="Active", "Retained", AE122="Voluntarily Terminated", "Voluntary Exit", AE122="Terminated for Cause", "Involuntary Exit")</f>
        <v>Retained</v>
      </c>
      <c r="H122">
        <v>10234</v>
      </c>
      <c r="I122">
        <v>1</v>
      </c>
      <c r="J122">
        <v>1</v>
      </c>
      <c r="K122">
        <v>1</v>
      </c>
      <c r="L122">
        <v>1</v>
      </c>
      <c r="M122">
        <v>3</v>
      </c>
      <c r="N122">
        <v>3</v>
      </c>
      <c r="O122">
        <v>0</v>
      </c>
      <c r="P122">
        <v>99020</v>
      </c>
      <c r="Q122">
        <v>0</v>
      </c>
      <c r="R122">
        <v>4</v>
      </c>
      <c r="S122" t="s">
        <v>203</v>
      </c>
      <c r="T122" t="s">
        <v>45</v>
      </c>
      <c r="U122">
        <v>2134</v>
      </c>
      <c r="V122" s="1">
        <v>32689</v>
      </c>
      <c r="W122" t="s">
        <v>46</v>
      </c>
      <c r="X122" t="s">
        <v>59</v>
      </c>
      <c r="Y122" t="s">
        <v>48</v>
      </c>
      <c r="Z122" t="s">
        <v>49</v>
      </c>
      <c r="AA122" t="s">
        <v>89</v>
      </c>
      <c r="AB122" s="1">
        <v>42845</v>
      </c>
      <c r="AD122" t="s">
        <v>51</v>
      </c>
      <c r="AE122" t="s">
        <v>52</v>
      </c>
      <c r="AF122" t="s">
        <v>62</v>
      </c>
      <c r="AG122" t="s">
        <v>204</v>
      </c>
      <c r="AH122">
        <v>13</v>
      </c>
      <c r="AI122" t="s">
        <v>64</v>
      </c>
      <c r="AJ122" t="s">
        <v>65</v>
      </c>
      <c r="AK122">
        <v>4.2</v>
      </c>
      <c r="AL122">
        <v>5</v>
      </c>
      <c r="AM122">
        <v>5</v>
      </c>
      <c r="AN122" s="1">
        <v>43493</v>
      </c>
      <c r="AO122">
        <v>0</v>
      </c>
      <c r="AP122">
        <v>8</v>
      </c>
    </row>
    <row r="123" spans="1:42">
      <c r="A123" t="s">
        <v>270</v>
      </c>
      <c r="B123" t="str">
        <f t="shared" si="3"/>
        <v>Mike</v>
      </c>
      <c r="C123" t="str">
        <f t="shared" si="4"/>
        <v>Guilianno</v>
      </c>
      <c r="D123">
        <f t="shared" ca="1" si="5"/>
        <v>2</v>
      </c>
      <c r="E123" t="str" cm="1">
        <f t="array" ref="E123">_xlfn.IFS(P123&lt;40000, "Low", P123&lt;70000, "MID", P123&lt;100000, "HIGH", P123&gt;=100000, "Executive")</f>
        <v>HIGH</v>
      </c>
      <c r="F123" t="str" cm="1">
        <f t="array" ref="F123">_xlfn.IFS(AJ123="Exceeds", "Top Performer", AJ123="Fully Meets", "Solid Performer", AJ123="Needs Improvement", "Underperformer", AJ123="PIP", "At Risk")</f>
        <v>Solid Performer</v>
      </c>
      <c r="G123" t="str" cm="1">
        <f t="array" ref="G123">_xlfn.IFS(AE123="Active", "Retained", AE123="Voluntarily Terminated", "Voluntary Exit", AE123="Terminated for Cause", "Involuntary Exit")</f>
        <v>Voluntary Exit</v>
      </c>
      <c r="H123">
        <v>10109</v>
      </c>
      <c r="I123">
        <v>0</v>
      </c>
      <c r="J123">
        <v>0</v>
      </c>
      <c r="K123">
        <v>1</v>
      </c>
      <c r="L123">
        <v>5</v>
      </c>
      <c r="M123">
        <v>6</v>
      </c>
      <c r="N123">
        <v>3</v>
      </c>
      <c r="O123">
        <v>0</v>
      </c>
      <c r="P123">
        <v>71707</v>
      </c>
      <c r="Q123">
        <v>1</v>
      </c>
      <c r="R123">
        <v>3</v>
      </c>
      <c r="S123" t="s">
        <v>146</v>
      </c>
      <c r="T123" t="s">
        <v>271</v>
      </c>
      <c r="U123">
        <v>37129</v>
      </c>
      <c r="V123" s="1">
        <v>25243</v>
      </c>
      <c r="W123" t="s">
        <v>46</v>
      </c>
      <c r="X123" t="s">
        <v>47</v>
      </c>
      <c r="Y123" t="s">
        <v>48</v>
      </c>
      <c r="Z123" t="s">
        <v>49</v>
      </c>
      <c r="AA123" t="s">
        <v>105</v>
      </c>
      <c r="AB123" s="1">
        <v>40975</v>
      </c>
      <c r="AC123" s="1">
        <v>41943</v>
      </c>
      <c r="AD123" t="s">
        <v>169</v>
      </c>
      <c r="AE123" t="s">
        <v>61</v>
      </c>
      <c r="AF123" t="s">
        <v>148</v>
      </c>
      <c r="AG123" t="s">
        <v>149</v>
      </c>
      <c r="AH123">
        <v>17</v>
      </c>
      <c r="AI123" t="s">
        <v>55</v>
      </c>
      <c r="AJ123" t="s">
        <v>65</v>
      </c>
      <c r="AK123">
        <v>4.5</v>
      </c>
      <c r="AL123">
        <v>5</v>
      </c>
      <c r="AM123">
        <v>0</v>
      </c>
      <c r="AN123" s="1">
        <v>41306</v>
      </c>
      <c r="AO123">
        <v>0</v>
      </c>
      <c r="AP123">
        <v>20</v>
      </c>
    </row>
    <row r="124" spans="1:42">
      <c r="A124" t="s">
        <v>272</v>
      </c>
      <c r="B124" t="str">
        <f t="shared" si="3"/>
        <v>Joanne</v>
      </c>
      <c r="C124" t="str">
        <f t="shared" si="4"/>
        <v>Handschiegl</v>
      </c>
      <c r="D124">
        <f t="shared" ca="1" si="5"/>
        <v>14</v>
      </c>
      <c r="E124" t="str" cm="1">
        <f t="array" ref="E124">_xlfn.IFS(P124&lt;40000, "Low", P124&lt;70000, "MID", P124&lt;100000, "HIGH", P124&gt;=100000, "Executive")</f>
        <v>MID</v>
      </c>
      <c r="F124" t="str" cm="1">
        <f t="array" ref="F124">_xlfn.IFS(AJ124="Exceeds", "Top Performer", AJ124="Fully Meets", "Solid Performer", AJ124="Needs Improvement", "Underperformer", AJ124="PIP", "At Risk")</f>
        <v>Solid Performer</v>
      </c>
      <c r="G124" t="str" cm="1">
        <f t="array" ref="G124">_xlfn.IFS(AE124="Active", "Retained", AE124="Voluntarily Terminated", "Voluntary Exit", AE124="Terminated for Cause", "Involuntary Exit")</f>
        <v>Retained</v>
      </c>
      <c r="H124">
        <v>10125</v>
      </c>
      <c r="I124">
        <v>1</v>
      </c>
      <c r="J124">
        <v>1</v>
      </c>
      <c r="K124">
        <v>0</v>
      </c>
      <c r="L124">
        <v>1</v>
      </c>
      <c r="M124">
        <v>5</v>
      </c>
      <c r="N124">
        <v>3</v>
      </c>
      <c r="O124">
        <v>0</v>
      </c>
      <c r="P124">
        <v>54828</v>
      </c>
      <c r="Q124">
        <v>0</v>
      </c>
      <c r="R124">
        <v>19</v>
      </c>
      <c r="S124" t="s">
        <v>44</v>
      </c>
      <c r="T124" t="s">
        <v>45</v>
      </c>
      <c r="U124">
        <v>2127</v>
      </c>
      <c r="V124" s="1">
        <v>28207</v>
      </c>
      <c r="W124" t="s">
        <v>68</v>
      </c>
      <c r="X124" t="s">
        <v>59</v>
      </c>
      <c r="Y124" t="s">
        <v>48</v>
      </c>
      <c r="Z124" t="s">
        <v>49</v>
      </c>
      <c r="AA124" t="s">
        <v>50</v>
      </c>
      <c r="AB124" s="1">
        <v>40875</v>
      </c>
      <c r="AD124" t="s">
        <v>51</v>
      </c>
      <c r="AE124" t="s">
        <v>52</v>
      </c>
      <c r="AF124" t="s">
        <v>53</v>
      </c>
      <c r="AG124" t="s">
        <v>54</v>
      </c>
      <c r="AH124">
        <v>22</v>
      </c>
      <c r="AI124" t="s">
        <v>77</v>
      </c>
      <c r="AJ124" t="s">
        <v>65</v>
      </c>
      <c r="AK124">
        <v>4.2</v>
      </c>
      <c r="AL124">
        <v>4</v>
      </c>
      <c r="AM124">
        <v>0</v>
      </c>
      <c r="AN124" s="1">
        <v>43518</v>
      </c>
      <c r="AO124">
        <v>0</v>
      </c>
      <c r="AP124">
        <v>13</v>
      </c>
    </row>
    <row r="125" spans="1:42">
      <c r="A125" t="s">
        <v>273</v>
      </c>
      <c r="B125" t="str">
        <f t="shared" si="3"/>
        <v>Earnest</v>
      </c>
      <c r="C125" t="str">
        <f t="shared" si="4"/>
        <v>Hankard</v>
      </c>
      <c r="D125">
        <f t="shared" ca="1" si="5"/>
        <v>12</v>
      </c>
      <c r="E125" t="str" cm="1">
        <f t="array" ref="E125">_xlfn.IFS(P125&lt;40000, "Low", P125&lt;70000, "MID", P125&lt;100000, "HIGH", P125&gt;=100000, "Executive")</f>
        <v>MID</v>
      </c>
      <c r="F125" t="str" cm="1">
        <f t="array" ref="F125">_xlfn.IFS(AJ125="Exceeds", "Top Performer", AJ125="Fully Meets", "Solid Performer", AJ125="Needs Improvement", "Underperformer", AJ125="PIP", "At Risk")</f>
        <v>Solid Performer</v>
      </c>
      <c r="G125" t="str" cm="1">
        <f t="array" ref="G125">_xlfn.IFS(AE125="Active", "Retained", AE125="Voluntarily Terminated", "Voluntary Exit", AE125="Terminated for Cause", "Involuntary Exit")</f>
        <v>Retained</v>
      </c>
      <c r="H125">
        <v>10074</v>
      </c>
      <c r="I125">
        <v>0</v>
      </c>
      <c r="J125">
        <v>0</v>
      </c>
      <c r="K125">
        <v>1</v>
      </c>
      <c r="L125">
        <v>1</v>
      </c>
      <c r="M125">
        <v>5</v>
      </c>
      <c r="N125">
        <v>3</v>
      </c>
      <c r="O125">
        <v>0</v>
      </c>
      <c r="P125">
        <v>64246</v>
      </c>
      <c r="Q125">
        <v>0</v>
      </c>
      <c r="R125">
        <v>20</v>
      </c>
      <c r="S125" t="s">
        <v>67</v>
      </c>
      <c r="T125" t="s">
        <v>45</v>
      </c>
      <c r="U125">
        <v>2155</v>
      </c>
      <c r="V125" s="1">
        <v>32365</v>
      </c>
      <c r="W125" t="s">
        <v>46</v>
      </c>
      <c r="X125" t="s">
        <v>47</v>
      </c>
      <c r="Y125" t="s">
        <v>48</v>
      </c>
      <c r="Z125" t="s">
        <v>96</v>
      </c>
      <c r="AA125" t="s">
        <v>50</v>
      </c>
      <c r="AB125" s="1">
        <v>41589</v>
      </c>
      <c r="AD125" t="s">
        <v>51</v>
      </c>
      <c r="AE125" t="s">
        <v>52</v>
      </c>
      <c r="AF125" t="s">
        <v>53</v>
      </c>
      <c r="AG125" t="s">
        <v>106</v>
      </c>
      <c r="AH125">
        <v>18</v>
      </c>
      <c r="AI125" t="s">
        <v>55</v>
      </c>
      <c r="AJ125" t="s">
        <v>65</v>
      </c>
      <c r="AK125">
        <v>5</v>
      </c>
      <c r="AL125">
        <v>3</v>
      </c>
      <c r="AM125">
        <v>0</v>
      </c>
      <c r="AN125" s="1">
        <v>43473</v>
      </c>
      <c r="AO125">
        <v>0</v>
      </c>
      <c r="AP125">
        <v>20</v>
      </c>
    </row>
    <row r="126" spans="1:42">
      <c r="A126" t="s">
        <v>274</v>
      </c>
      <c r="B126" t="str">
        <f t="shared" si="3"/>
        <v>Christie</v>
      </c>
      <c r="C126" t="str">
        <f t="shared" si="4"/>
        <v>Harrington</v>
      </c>
      <c r="D126">
        <f t="shared" ca="1" si="5"/>
        <v>3</v>
      </c>
      <c r="E126" t="str" cm="1">
        <f t="array" ref="E126">_xlfn.IFS(P126&lt;40000, "Low", P126&lt;70000, "MID", P126&lt;100000, "HIGH", P126&gt;=100000, "Executive")</f>
        <v>MID</v>
      </c>
      <c r="F126" t="str" cm="1">
        <f t="array" ref="F126">_xlfn.IFS(AJ126="Exceeds", "Top Performer", AJ126="Fully Meets", "Solid Performer", AJ126="Needs Improvement", "Underperformer", AJ126="PIP", "At Risk")</f>
        <v>Solid Performer</v>
      </c>
      <c r="G126" t="str" cm="1">
        <f t="array" ref="G126">_xlfn.IFS(AE126="Active", "Retained", AE126="Voluntarily Terminated", "Voluntary Exit", AE126="Terminated for Cause", "Involuntary Exit")</f>
        <v>Voluntary Exit</v>
      </c>
      <c r="H126">
        <v>10097</v>
      </c>
      <c r="I126">
        <v>0</v>
      </c>
      <c r="J126">
        <v>0</v>
      </c>
      <c r="K126">
        <v>0</v>
      </c>
      <c r="L126">
        <v>5</v>
      </c>
      <c r="M126">
        <v>5</v>
      </c>
      <c r="N126">
        <v>3</v>
      </c>
      <c r="O126">
        <v>0</v>
      </c>
      <c r="P126">
        <v>52177</v>
      </c>
      <c r="Q126">
        <v>1</v>
      </c>
      <c r="R126">
        <v>19</v>
      </c>
      <c r="S126" t="s">
        <v>44</v>
      </c>
      <c r="T126" t="s">
        <v>45</v>
      </c>
      <c r="U126">
        <v>2324</v>
      </c>
      <c r="V126" s="1">
        <v>19224</v>
      </c>
      <c r="W126" t="s">
        <v>68</v>
      </c>
      <c r="X126" t="s">
        <v>47</v>
      </c>
      <c r="Y126" t="s">
        <v>48</v>
      </c>
      <c r="Z126" t="s">
        <v>49</v>
      </c>
      <c r="AA126" t="s">
        <v>50</v>
      </c>
      <c r="AB126" s="1">
        <v>40917</v>
      </c>
      <c r="AC126" s="1">
        <v>42353</v>
      </c>
      <c r="AD126" t="s">
        <v>137</v>
      </c>
      <c r="AE126" t="s">
        <v>61</v>
      </c>
      <c r="AF126" t="s">
        <v>53</v>
      </c>
      <c r="AG126" t="s">
        <v>76</v>
      </c>
      <c r="AH126">
        <v>39</v>
      </c>
      <c r="AI126" t="s">
        <v>124</v>
      </c>
      <c r="AJ126" t="s">
        <v>65</v>
      </c>
      <c r="AK126">
        <v>4.6399999999999997</v>
      </c>
      <c r="AL126">
        <v>4</v>
      </c>
      <c r="AM126">
        <v>0</v>
      </c>
      <c r="AN126" s="1">
        <v>42126</v>
      </c>
      <c r="AO126">
        <v>0</v>
      </c>
      <c r="AP126">
        <v>8</v>
      </c>
    </row>
    <row r="127" spans="1:42">
      <c r="A127" t="s">
        <v>275</v>
      </c>
      <c r="B127" t="str">
        <f t="shared" si="3"/>
        <v>Kara</v>
      </c>
      <c r="C127" t="str">
        <f t="shared" si="4"/>
        <v>Harrison</v>
      </c>
      <c r="D127">
        <f t="shared" ca="1" si="5"/>
        <v>11</v>
      </c>
      <c r="E127" t="str" cm="1">
        <f t="array" ref="E127">_xlfn.IFS(P127&lt;40000, "Low", P127&lt;70000, "MID", P127&lt;100000, "HIGH", P127&gt;=100000, "Executive")</f>
        <v>MID</v>
      </c>
      <c r="F127" t="str" cm="1">
        <f t="array" ref="F127">_xlfn.IFS(AJ127="Exceeds", "Top Performer", AJ127="Fully Meets", "Solid Performer", AJ127="Needs Improvement", "Underperformer", AJ127="PIP", "At Risk")</f>
        <v>Top Performer</v>
      </c>
      <c r="G127" t="str" cm="1">
        <f t="array" ref="G127">_xlfn.IFS(AE127="Active", "Retained", AE127="Voluntarily Terminated", "Voluntary Exit", AE127="Terminated for Cause", "Involuntary Exit")</f>
        <v>Retained</v>
      </c>
      <c r="H127">
        <v>10007</v>
      </c>
      <c r="I127">
        <v>1</v>
      </c>
      <c r="J127">
        <v>1</v>
      </c>
      <c r="K127">
        <v>0</v>
      </c>
      <c r="L127">
        <v>1</v>
      </c>
      <c r="M127">
        <v>5</v>
      </c>
      <c r="N127">
        <v>4</v>
      </c>
      <c r="O127">
        <v>0</v>
      </c>
      <c r="P127">
        <v>62065</v>
      </c>
      <c r="Q127">
        <v>0</v>
      </c>
      <c r="R127">
        <v>19</v>
      </c>
      <c r="S127" t="s">
        <v>44</v>
      </c>
      <c r="T127" t="s">
        <v>45</v>
      </c>
      <c r="U127">
        <v>1886</v>
      </c>
      <c r="V127" s="1">
        <v>27151</v>
      </c>
      <c r="W127" t="s">
        <v>68</v>
      </c>
      <c r="X127" t="s">
        <v>59</v>
      </c>
      <c r="Y127" t="s">
        <v>48</v>
      </c>
      <c r="Z127" t="s">
        <v>49</v>
      </c>
      <c r="AA127" t="s">
        <v>50</v>
      </c>
      <c r="AB127" s="1">
        <v>41771</v>
      </c>
      <c r="AD127" t="s">
        <v>51</v>
      </c>
      <c r="AE127" t="s">
        <v>52</v>
      </c>
      <c r="AF127" t="s">
        <v>53</v>
      </c>
      <c r="AG127" t="s">
        <v>79</v>
      </c>
      <c r="AH127">
        <v>11</v>
      </c>
      <c r="AI127" t="s">
        <v>124</v>
      </c>
      <c r="AJ127" t="s">
        <v>56</v>
      </c>
      <c r="AK127">
        <v>4.76</v>
      </c>
      <c r="AL127">
        <v>4</v>
      </c>
      <c r="AM127">
        <v>0</v>
      </c>
      <c r="AN127" s="1">
        <v>43511</v>
      </c>
      <c r="AO127">
        <v>0</v>
      </c>
      <c r="AP127">
        <v>5</v>
      </c>
    </row>
    <row r="128" spans="1:42">
      <c r="A128" t="s">
        <v>276</v>
      </c>
      <c r="B128" t="str">
        <f t="shared" si="3"/>
        <v>Anthony</v>
      </c>
      <c r="C128" t="str">
        <f t="shared" si="4"/>
        <v>Heitzman</v>
      </c>
      <c r="D128">
        <f t="shared" ca="1" si="5"/>
        <v>13</v>
      </c>
      <c r="E128" t="str" cm="1">
        <f t="array" ref="E128">_xlfn.IFS(P128&lt;40000, "Low", P128&lt;70000, "MID", P128&lt;100000, "HIGH", P128&gt;=100000, "Executive")</f>
        <v>MID</v>
      </c>
      <c r="F128" t="str" cm="1">
        <f t="array" ref="F128">_xlfn.IFS(AJ128="Exceeds", "Top Performer", AJ128="Fully Meets", "Solid Performer", AJ128="Needs Improvement", "Underperformer", AJ128="PIP", "At Risk")</f>
        <v>Solid Performer</v>
      </c>
      <c r="G128" t="str" cm="1">
        <f t="array" ref="G128">_xlfn.IFS(AE128="Active", "Retained", AE128="Voluntarily Terminated", "Voluntary Exit", AE128="Terminated for Cause", "Involuntary Exit")</f>
        <v>Retained</v>
      </c>
      <c r="H128">
        <v>10129</v>
      </c>
      <c r="I128">
        <v>0</v>
      </c>
      <c r="J128">
        <v>0</v>
      </c>
      <c r="K128">
        <v>1</v>
      </c>
      <c r="L128">
        <v>1</v>
      </c>
      <c r="M128">
        <v>5</v>
      </c>
      <c r="N128">
        <v>3</v>
      </c>
      <c r="O128">
        <v>0</v>
      </c>
      <c r="P128">
        <v>46998</v>
      </c>
      <c r="Q128">
        <v>0</v>
      </c>
      <c r="R128">
        <v>19</v>
      </c>
      <c r="S128" t="s">
        <v>44</v>
      </c>
      <c r="T128" t="s">
        <v>45</v>
      </c>
      <c r="U128">
        <v>2149</v>
      </c>
      <c r="V128" s="1">
        <v>30685</v>
      </c>
      <c r="W128" t="s">
        <v>46</v>
      </c>
      <c r="X128" t="s">
        <v>47</v>
      </c>
      <c r="Y128" t="s">
        <v>48</v>
      </c>
      <c r="Z128" t="s">
        <v>49</v>
      </c>
      <c r="AA128" t="s">
        <v>50</v>
      </c>
      <c r="AB128" s="1">
        <v>41134</v>
      </c>
      <c r="AD128" t="s">
        <v>51</v>
      </c>
      <c r="AE128" t="s">
        <v>52</v>
      </c>
      <c r="AF128" t="s">
        <v>53</v>
      </c>
      <c r="AG128" t="s">
        <v>86</v>
      </c>
      <c r="AH128">
        <v>19</v>
      </c>
      <c r="AI128" t="s">
        <v>77</v>
      </c>
      <c r="AJ128" t="s">
        <v>65</v>
      </c>
      <c r="AK128">
        <v>4.17</v>
      </c>
      <c r="AL128">
        <v>4</v>
      </c>
      <c r="AM128">
        <v>0</v>
      </c>
      <c r="AN128" s="1">
        <v>43507</v>
      </c>
      <c r="AO128">
        <v>0</v>
      </c>
      <c r="AP128">
        <v>1</v>
      </c>
    </row>
    <row r="129" spans="1:42">
      <c r="A129" t="s">
        <v>277</v>
      </c>
      <c r="B129" t="str">
        <f t="shared" si="3"/>
        <v>Trina</v>
      </c>
      <c r="C129" t="str">
        <f t="shared" si="4"/>
        <v>Hendrickson</v>
      </c>
      <c r="D129">
        <f t="shared" ca="1" si="5"/>
        <v>2</v>
      </c>
      <c r="E129" t="str" cm="1">
        <f t="array" ref="E129">_xlfn.IFS(P129&lt;40000, "Low", P129&lt;70000, "MID", P129&lt;100000, "HIGH", P129&gt;=100000, "Executive")</f>
        <v>MID</v>
      </c>
      <c r="F129" t="str" cm="1">
        <f t="array" ref="F129">_xlfn.IFS(AJ129="Exceeds", "Top Performer", AJ129="Fully Meets", "Solid Performer", AJ129="Needs Improvement", "Underperformer", AJ129="PIP", "At Risk")</f>
        <v>Solid Performer</v>
      </c>
      <c r="G129" t="str" cm="1">
        <f t="array" ref="G129">_xlfn.IFS(AE129="Active", "Retained", AE129="Voluntarily Terminated", "Voluntary Exit", AE129="Terminated for Cause", "Involuntary Exit")</f>
        <v>Voluntary Exit</v>
      </c>
      <c r="H129">
        <v>10075</v>
      </c>
      <c r="I129">
        <v>0</v>
      </c>
      <c r="J129">
        <v>0</v>
      </c>
      <c r="K129">
        <v>0</v>
      </c>
      <c r="L129">
        <v>5</v>
      </c>
      <c r="M129">
        <v>5</v>
      </c>
      <c r="N129">
        <v>3</v>
      </c>
      <c r="O129">
        <v>0</v>
      </c>
      <c r="P129">
        <v>68099</v>
      </c>
      <c r="Q129">
        <v>1</v>
      </c>
      <c r="R129">
        <v>20</v>
      </c>
      <c r="S129" t="s">
        <v>67</v>
      </c>
      <c r="T129" t="s">
        <v>45</v>
      </c>
      <c r="U129">
        <v>2021</v>
      </c>
      <c r="V129" s="1">
        <v>26538</v>
      </c>
      <c r="W129" t="s">
        <v>68</v>
      </c>
      <c r="X129" t="s">
        <v>47</v>
      </c>
      <c r="Y129" t="s">
        <v>48</v>
      </c>
      <c r="Z129" t="s">
        <v>49</v>
      </c>
      <c r="AA129" t="s">
        <v>50</v>
      </c>
      <c r="AB129" s="1">
        <v>40553</v>
      </c>
      <c r="AC129" s="1">
        <v>41443</v>
      </c>
      <c r="AD129" t="s">
        <v>69</v>
      </c>
      <c r="AE129" t="s">
        <v>61</v>
      </c>
      <c r="AF129" t="s">
        <v>53</v>
      </c>
      <c r="AG129" t="s">
        <v>106</v>
      </c>
      <c r="AH129">
        <v>18</v>
      </c>
      <c r="AI129" t="s">
        <v>124</v>
      </c>
      <c r="AJ129" t="s">
        <v>65</v>
      </c>
      <c r="AK129">
        <v>5</v>
      </c>
      <c r="AL129">
        <v>3</v>
      </c>
      <c r="AM129">
        <v>0</v>
      </c>
      <c r="AN129" s="1">
        <v>41304</v>
      </c>
      <c r="AO129">
        <v>0</v>
      </c>
      <c r="AP129">
        <v>15</v>
      </c>
    </row>
    <row r="130" spans="1:42">
      <c r="A130" t="s">
        <v>278</v>
      </c>
      <c r="B130" t="str">
        <f t="shared" si="3"/>
        <v>Alfred</v>
      </c>
      <c r="C130" t="str">
        <f t="shared" si="4"/>
        <v>Hitchcock</v>
      </c>
      <c r="D130">
        <f t="shared" ca="1" si="5"/>
        <v>11</v>
      </c>
      <c r="E130" t="str" cm="1">
        <f t="array" ref="E130">_xlfn.IFS(P130&lt;40000, "Low", P130&lt;70000, "MID", P130&lt;100000, "HIGH", P130&gt;=100000, "Executive")</f>
        <v>HIGH</v>
      </c>
      <c r="F130" t="str" cm="1">
        <f t="array" ref="F130">_xlfn.IFS(AJ130="Exceeds", "Top Performer", AJ130="Fully Meets", "Solid Performer", AJ130="Needs Improvement", "Underperformer", AJ130="PIP", "At Risk")</f>
        <v>Solid Performer</v>
      </c>
      <c r="G130" t="str" cm="1">
        <f t="array" ref="G130">_xlfn.IFS(AE130="Active", "Retained", AE130="Voluntarily Terminated", "Voluntary Exit", AE130="Terminated for Cause", "Involuntary Exit")</f>
        <v>Retained</v>
      </c>
      <c r="H130">
        <v>10167</v>
      </c>
      <c r="I130">
        <v>1</v>
      </c>
      <c r="J130">
        <v>1</v>
      </c>
      <c r="K130">
        <v>1</v>
      </c>
      <c r="L130">
        <v>1</v>
      </c>
      <c r="M130">
        <v>6</v>
      </c>
      <c r="N130">
        <v>3</v>
      </c>
      <c r="O130">
        <v>0</v>
      </c>
      <c r="P130">
        <v>70545</v>
      </c>
      <c r="Q130">
        <v>0</v>
      </c>
      <c r="R130">
        <v>3</v>
      </c>
      <c r="S130" t="s">
        <v>146</v>
      </c>
      <c r="T130" t="s">
        <v>279</v>
      </c>
      <c r="U130">
        <v>3062</v>
      </c>
      <c r="V130" s="1">
        <v>32400</v>
      </c>
      <c r="W130" t="s">
        <v>46</v>
      </c>
      <c r="X130" t="s">
        <v>59</v>
      </c>
      <c r="Y130" t="s">
        <v>48</v>
      </c>
      <c r="Z130" t="s">
        <v>49</v>
      </c>
      <c r="AA130" t="s">
        <v>265</v>
      </c>
      <c r="AB130" s="1">
        <v>41869</v>
      </c>
      <c r="AD130" t="s">
        <v>51</v>
      </c>
      <c r="AE130" t="s">
        <v>52</v>
      </c>
      <c r="AF130" t="s">
        <v>148</v>
      </c>
      <c r="AG130" t="s">
        <v>149</v>
      </c>
      <c r="AH130">
        <v>17</v>
      </c>
      <c r="AI130" t="s">
        <v>64</v>
      </c>
      <c r="AJ130" t="s">
        <v>65</v>
      </c>
      <c r="AK130">
        <v>3.6</v>
      </c>
      <c r="AL130">
        <v>5</v>
      </c>
      <c r="AM130">
        <v>0</v>
      </c>
      <c r="AN130" s="1">
        <v>43495</v>
      </c>
      <c r="AO130">
        <v>0</v>
      </c>
      <c r="AP130">
        <v>9</v>
      </c>
    </row>
    <row r="131" spans="1:42">
      <c r="A131" t="s">
        <v>280</v>
      </c>
      <c r="B131" t="str">
        <f t="shared" ref="B131:B194" si="6">TRIM(MID(A131, FIND(",", A131)+1, LEN(A131)))</f>
        <v>Adrienne J</v>
      </c>
      <c r="C131" t="str">
        <f t="shared" ref="C131:C194" si="7">TRIM(LEFT(A131, FIND(",", A131)-1))</f>
        <v>Homberger</v>
      </c>
      <c r="D131">
        <f t="shared" ref="D131:D194" ca="1" si="8">IFERROR(DATEDIF(AB131, AC131, "Y"), DATEDIF(AB131, TODAY(), "Y"))</f>
        <v>0</v>
      </c>
      <c r="E131" t="str" cm="1">
        <f t="array" ref="E131">_xlfn.IFS(P131&lt;40000, "Low", P131&lt;70000, "MID", P131&lt;100000, "HIGH", P131&gt;=100000, "Executive")</f>
        <v>MID</v>
      </c>
      <c r="F131" t="str" cm="1">
        <f t="array" ref="F131">_xlfn.IFS(AJ131="Exceeds", "Top Performer", AJ131="Fully Meets", "Solid Performer", AJ131="Needs Improvement", "Underperformer", AJ131="PIP", "At Risk")</f>
        <v>Solid Performer</v>
      </c>
      <c r="G131" t="str" cm="1">
        <f t="array" ref="G131">_xlfn.IFS(AE131="Active", "Retained", AE131="Voluntarily Terminated", "Voluntary Exit", AE131="Terminated for Cause", "Involuntary Exit")</f>
        <v>Voluntary Exit</v>
      </c>
      <c r="H131">
        <v>10195</v>
      </c>
      <c r="I131">
        <v>1</v>
      </c>
      <c r="J131">
        <v>1</v>
      </c>
      <c r="K131">
        <v>0</v>
      </c>
      <c r="L131">
        <v>5</v>
      </c>
      <c r="M131">
        <v>5</v>
      </c>
      <c r="N131">
        <v>3</v>
      </c>
      <c r="O131">
        <v>0</v>
      </c>
      <c r="P131">
        <v>63478</v>
      </c>
      <c r="Q131">
        <v>1</v>
      </c>
      <c r="R131">
        <v>20</v>
      </c>
      <c r="S131" t="s">
        <v>67</v>
      </c>
      <c r="T131" t="s">
        <v>45</v>
      </c>
      <c r="U131">
        <v>2445</v>
      </c>
      <c r="V131" s="1">
        <v>30728</v>
      </c>
      <c r="W131" t="s">
        <v>68</v>
      </c>
      <c r="X131" t="s">
        <v>59</v>
      </c>
      <c r="Y131" t="s">
        <v>171</v>
      </c>
      <c r="Z131" t="s">
        <v>49</v>
      </c>
      <c r="AA131" t="s">
        <v>50</v>
      </c>
      <c r="AB131" s="1">
        <v>40770</v>
      </c>
      <c r="AC131" s="1">
        <v>41006</v>
      </c>
      <c r="AD131" t="s">
        <v>169</v>
      </c>
      <c r="AE131" t="s">
        <v>61</v>
      </c>
      <c r="AF131" t="s">
        <v>53</v>
      </c>
      <c r="AG131" t="s">
        <v>54</v>
      </c>
      <c r="AH131">
        <v>30</v>
      </c>
      <c r="AI131" t="s">
        <v>64</v>
      </c>
      <c r="AJ131" t="s">
        <v>65</v>
      </c>
      <c r="AK131">
        <v>3.03</v>
      </c>
      <c r="AL131">
        <v>5</v>
      </c>
      <c r="AM131">
        <v>0</v>
      </c>
      <c r="AN131" s="1">
        <v>40973</v>
      </c>
      <c r="AO131">
        <v>0</v>
      </c>
      <c r="AP131">
        <v>16</v>
      </c>
    </row>
    <row r="132" spans="1:42">
      <c r="A132" t="s">
        <v>281</v>
      </c>
      <c r="B132" t="str">
        <f t="shared" si="6"/>
        <v>Jayne</v>
      </c>
      <c r="C132" t="str">
        <f t="shared" si="7"/>
        <v>Horton</v>
      </c>
      <c r="D132">
        <f t="shared" ca="1" si="8"/>
        <v>11</v>
      </c>
      <c r="E132" t="str" cm="1">
        <f t="array" ref="E132">_xlfn.IFS(P132&lt;40000, "Low", P132&lt;70000, "MID", P132&lt;100000, "HIGH", P132&gt;=100000, "Executive")</f>
        <v>HIGH</v>
      </c>
      <c r="F132" t="str" cm="1">
        <f t="array" ref="F132">_xlfn.IFS(AJ132="Exceeds", "Top Performer", AJ132="Fully Meets", "Solid Performer", AJ132="Needs Improvement", "Underperformer", AJ132="PIP", "At Risk")</f>
        <v>Solid Performer</v>
      </c>
      <c r="G132" t="str" cm="1">
        <f t="array" ref="G132">_xlfn.IFS(AE132="Active", "Retained", AE132="Voluntarily Terminated", "Voluntary Exit", AE132="Terminated for Cause", "Involuntary Exit")</f>
        <v>Retained</v>
      </c>
      <c r="H132">
        <v>10112</v>
      </c>
      <c r="I132">
        <v>0</v>
      </c>
      <c r="J132">
        <v>0</v>
      </c>
      <c r="K132">
        <v>0</v>
      </c>
      <c r="L132">
        <v>1</v>
      </c>
      <c r="M132">
        <v>3</v>
      </c>
      <c r="N132">
        <v>3</v>
      </c>
      <c r="O132">
        <v>0</v>
      </c>
      <c r="P132">
        <v>97999</v>
      </c>
      <c r="Q132">
        <v>0</v>
      </c>
      <c r="R132">
        <v>8</v>
      </c>
      <c r="S132" t="s">
        <v>116</v>
      </c>
      <c r="T132" t="s">
        <v>45</v>
      </c>
      <c r="U132">
        <v>2493</v>
      </c>
      <c r="V132" s="1">
        <v>30733</v>
      </c>
      <c r="W132" t="s">
        <v>68</v>
      </c>
      <c r="X132" t="s">
        <v>47</v>
      </c>
      <c r="Y132" t="s">
        <v>48</v>
      </c>
      <c r="Z132" t="s">
        <v>49</v>
      </c>
      <c r="AA132" t="s">
        <v>50</v>
      </c>
      <c r="AB132" s="1">
        <v>42093</v>
      </c>
      <c r="AD132" t="s">
        <v>51</v>
      </c>
      <c r="AE132" t="s">
        <v>52</v>
      </c>
      <c r="AF132" t="s">
        <v>62</v>
      </c>
      <c r="AG132" t="s">
        <v>63</v>
      </c>
      <c r="AH132">
        <v>4</v>
      </c>
      <c r="AI132" t="s">
        <v>64</v>
      </c>
      <c r="AJ132" t="s">
        <v>65</v>
      </c>
      <c r="AK132">
        <v>4.4800000000000004</v>
      </c>
      <c r="AL132">
        <v>5</v>
      </c>
      <c r="AM132">
        <v>6</v>
      </c>
      <c r="AN132" s="1">
        <v>43468</v>
      </c>
      <c r="AO132">
        <v>0</v>
      </c>
      <c r="AP132">
        <v>4</v>
      </c>
    </row>
    <row r="133" spans="1:42">
      <c r="A133" t="s">
        <v>282</v>
      </c>
      <c r="B133" t="str">
        <f t="shared" si="6"/>
        <v>Debra</v>
      </c>
      <c r="C133" t="str">
        <f t="shared" si="7"/>
        <v>Houlihan</v>
      </c>
      <c r="D133">
        <f t="shared" ca="1" si="8"/>
        <v>11</v>
      </c>
      <c r="E133" t="str" cm="1">
        <f t="array" ref="E133">_xlfn.IFS(P133&lt;40000, "Low", P133&lt;70000, "MID", P133&lt;100000, "HIGH", P133&gt;=100000, "Executive")</f>
        <v>Executive</v>
      </c>
      <c r="F133" t="str" cm="1">
        <f t="array" ref="F133">_xlfn.IFS(AJ133="Exceeds", "Top Performer", AJ133="Fully Meets", "Solid Performer", AJ133="Needs Improvement", "Underperformer", AJ133="PIP", "At Risk")</f>
        <v>Solid Performer</v>
      </c>
      <c r="G133" t="str" cm="1">
        <f t="array" ref="G133">_xlfn.IFS(AE133="Active", "Retained", AE133="Voluntarily Terminated", "Voluntary Exit", AE133="Terminated for Cause", "Involuntary Exit")</f>
        <v>Retained</v>
      </c>
      <c r="H133">
        <v>10272</v>
      </c>
      <c r="I133">
        <v>1</v>
      </c>
      <c r="J133">
        <v>1</v>
      </c>
      <c r="K133">
        <v>0</v>
      </c>
      <c r="L133">
        <v>1</v>
      </c>
      <c r="M133">
        <v>6</v>
      </c>
      <c r="N133">
        <v>3</v>
      </c>
      <c r="O133">
        <v>0</v>
      </c>
      <c r="P133">
        <v>180000</v>
      </c>
      <c r="Q133">
        <v>0</v>
      </c>
      <c r="R133">
        <v>11</v>
      </c>
      <c r="S133" t="s">
        <v>283</v>
      </c>
      <c r="T133" t="s">
        <v>284</v>
      </c>
      <c r="U133">
        <v>2908</v>
      </c>
      <c r="V133" s="1">
        <v>24183</v>
      </c>
      <c r="W133" t="s">
        <v>68</v>
      </c>
      <c r="X133" t="s">
        <v>59</v>
      </c>
      <c r="Y133" t="s">
        <v>48</v>
      </c>
      <c r="Z133" t="s">
        <v>49</v>
      </c>
      <c r="AA133" t="s">
        <v>50</v>
      </c>
      <c r="AB133" s="1">
        <v>41764</v>
      </c>
      <c r="AD133" t="s">
        <v>51</v>
      </c>
      <c r="AE133" t="s">
        <v>52</v>
      </c>
      <c r="AF133" t="s">
        <v>148</v>
      </c>
      <c r="AG133" t="s">
        <v>138</v>
      </c>
      <c r="AH133">
        <v>2</v>
      </c>
      <c r="AI133" t="s">
        <v>55</v>
      </c>
      <c r="AJ133" t="s">
        <v>65</v>
      </c>
      <c r="AK133">
        <v>4.5</v>
      </c>
      <c r="AL133">
        <v>4</v>
      </c>
      <c r="AM133">
        <v>0</v>
      </c>
      <c r="AN133" s="1">
        <v>43486</v>
      </c>
      <c r="AO133">
        <v>0</v>
      </c>
      <c r="AP133">
        <v>19</v>
      </c>
    </row>
    <row r="134" spans="1:42">
      <c r="A134" t="s">
        <v>285</v>
      </c>
      <c r="B134" t="str">
        <f t="shared" si="6"/>
        <v>Estelle</v>
      </c>
      <c r="C134" t="str">
        <f t="shared" si="7"/>
        <v>Howard</v>
      </c>
      <c r="D134">
        <f t="shared" ca="1" si="8"/>
        <v>0</v>
      </c>
      <c r="E134" t="str" cm="1">
        <f t="array" ref="E134">_xlfn.IFS(P134&lt;40000, "Low", P134&lt;70000, "MID", P134&lt;100000, "HIGH", P134&gt;=100000, "Executive")</f>
        <v>MID</v>
      </c>
      <c r="F134" t="str" cm="1">
        <f t="array" ref="F134">_xlfn.IFS(AJ134="Exceeds", "Top Performer", AJ134="Fully Meets", "Solid Performer", AJ134="Needs Improvement", "Underperformer", AJ134="PIP", "At Risk")</f>
        <v>Solid Performer</v>
      </c>
      <c r="G134" t="str" cm="1">
        <f t="array" ref="G134">_xlfn.IFS(AE134="Active", "Retained", AE134="Voluntarily Terminated", "Voluntary Exit", AE134="Terminated for Cause", "Involuntary Exit")</f>
        <v>Involuntary Exit</v>
      </c>
      <c r="H134">
        <v>10182</v>
      </c>
      <c r="I134">
        <v>1</v>
      </c>
      <c r="J134">
        <v>1</v>
      </c>
      <c r="K134">
        <v>0</v>
      </c>
      <c r="L134">
        <v>1</v>
      </c>
      <c r="M134">
        <v>1</v>
      </c>
      <c r="N134">
        <v>3</v>
      </c>
      <c r="O134">
        <v>0</v>
      </c>
      <c r="P134">
        <v>49920</v>
      </c>
      <c r="Q134">
        <v>1</v>
      </c>
      <c r="R134">
        <v>2</v>
      </c>
      <c r="S134" t="s">
        <v>286</v>
      </c>
      <c r="T134" t="s">
        <v>45</v>
      </c>
      <c r="U134">
        <v>2170</v>
      </c>
      <c r="V134" s="1">
        <v>31306</v>
      </c>
      <c r="W134" t="s">
        <v>68</v>
      </c>
      <c r="X134" t="s">
        <v>59</v>
      </c>
      <c r="Y134" t="s">
        <v>48</v>
      </c>
      <c r="Z134" t="s">
        <v>49</v>
      </c>
      <c r="AA134" t="s">
        <v>89</v>
      </c>
      <c r="AB134" s="1">
        <v>42051</v>
      </c>
      <c r="AC134" s="1">
        <v>42109</v>
      </c>
      <c r="AD134" t="s">
        <v>225</v>
      </c>
      <c r="AE134" t="s">
        <v>111</v>
      </c>
      <c r="AF134" t="s">
        <v>133</v>
      </c>
      <c r="AG134" t="s">
        <v>134</v>
      </c>
      <c r="AH134">
        <v>1</v>
      </c>
      <c r="AI134" t="s">
        <v>64</v>
      </c>
      <c r="AJ134" t="s">
        <v>65</v>
      </c>
      <c r="AK134">
        <v>3.24</v>
      </c>
      <c r="AL134">
        <v>3</v>
      </c>
      <c r="AM134">
        <v>4</v>
      </c>
      <c r="AN134" s="1">
        <v>42109</v>
      </c>
      <c r="AO134">
        <v>0</v>
      </c>
      <c r="AP134">
        <v>6</v>
      </c>
    </row>
    <row r="135" spans="1:42">
      <c r="A135" t="s">
        <v>287</v>
      </c>
      <c r="B135" t="str">
        <f t="shared" si="6"/>
        <v>Jane</v>
      </c>
      <c r="C135" t="str">
        <f t="shared" si="7"/>
        <v>Hudson</v>
      </c>
      <c r="D135">
        <f t="shared" ca="1" si="8"/>
        <v>14</v>
      </c>
      <c r="E135" t="str" cm="1">
        <f t="array" ref="E135">_xlfn.IFS(P135&lt;40000, "Low", P135&lt;70000, "MID", P135&lt;100000, "HIGH", P135&gt;=100000, "Executive")</f>
        <v>MID</v>
      </c>
      <c r="F135" t="str" cm="1">
        <f t="array" ref="F135">_xlfn.IFS(AJ135="Exceeds", "Top Performer", AJ135="Fully Meets", "Solid Performer", AJ135="Needs Improvement", "Underperformer", AJ135="PIP", "At Risk")</f>
        <v>Solid Performer</v>
      </c>
      <c r="G135" t="str" cm="1">
        <f t="array" ref="G135">_xlfn.IFS(AE135="Active", "Retained", AE135="Voluntarily Terminated", "Voluntary Exit", AE135="Terminated for Cause", "Involuntary Exit")</f>
        <v>Retained</v>
      </c>
      <c r="H135">
        <v>10248</v>
      </c>
      <c r="I135">
        <v>0</v>
      </c>
      <c r="J135">
        <v>0</v>
      </c>
      <c r="K135">
        <v>0</v>
      </c>
      <c r="L135">
        <v>1</v>
      </c>
      <c r="M135">
        <v>5</v>
      </c>
      <c r="N135">
        <v>3</v>
      </c>
      <c r="O135">
        <v>0</v>
      </c>
      <c r="P135">
        <v>55425</v>
      </c>
      <c r="Q135">
        <v>0</v>
      </c>
      <c r="R135">
        <v>19</v>
      </c>
      <c r="S135" t="s">
        <v>44</v>
      </c>
      <c r="T135" t="s">
        <v>45</v>
      </c>
      <c r="U135">
        <v>2176</v>
      </c>
      <c r="V135" s="1">
        <v>31573</v>
      </c>
      <c r="W135" t="s">
        <v>68</v>
      </c>
      <c r="X135" t="s">
        <v>47</v>
      </c>
      <c r="Y135" t="s">
        <v>48</v>
      </c>
      <c r="Z135" t="s">
        <v>49</v>
      </c>
      <c r="AA135" t="s">
        <v>50</v>
      </c>
      <c r="AB135" s="1">
        <v>40959</v>
      </c>
      <c r="AD135" t="s">
        <v>51</v>
      </c>
      <c r="AE135" t="s">
        <v>52</v>
      </c>
      <c r="AF135" t="s">
        <v>53</v>
      </c>
      <c r="AG135" t="s">
        <v>86</v>
      </c>
      <c r="AH135">
        <v>19</v>
      </c>
      <c r="AI135" t="s">
        <v>55</v>
      </c>
      <c r="AJ135" t="s">
        <v>65</v>
      </c>
      <c r="AK135">
        <v>4.8</v>
      </c>
      <c r="AL135">
        <v>4</v>
      </c>
      <c r="AM135">
        <v>0</v>
      </c>
      <c r="AN135" s="1">
        <v>43472</v>
      </c>
      <c r="AO135">
        <v>0</v>
      </c>
      <c r="AP135">
        <v>4</v>
      </c>
    </row>
    <row r="136" spans="1:42">
      <c r="A136" t="s">
        <v>288</v>
      </c>
      <c r="B136" t="str">
        <f t="shared" si="6"/>
        <v>Julissa</v>
      </c>
      <c r="C136" t="str">
        <f t="shared" si="7"/>
        <v>Hunts</v>
      </c>
      <c r="D136">
        <f t="shared" ca="1" si="8"/>
        <v>9</v>
      </c>
      <c r="E136" t="str" cm="1">
        <f t="array" ref="E136">_xlfn.IFS(P136&lt;40000, "Low", P136&lt;70000, "MID", P136&lt;100000, "HIGH", P136&gt;=100000, "Executive")</f>
        <v>MID</v>
      </c>
      <c r="F136" t="str" cm="1">
        <f t="array" ref="F136">_xlfn.IFS(AJ136="Exceeds", "Top Performer", AJ136="Fully Meets", "Solid Performer", AJ136="Needs Improvement", "Underperformer", AJ136="PIP", "At Risk")</f>
        <v>Solid Performer</v>
      </c>
      <c r="G136" t="str" cm="1">
        <f t="array" ref="G136">_xlfn.IFS(AE136="Active", "Retained", AE136="Voluntarily Terminated", "Voluntary Exit", AE136="Terminated for Cause", "Involuntary Exit")</f>
        <v>Retained</v>
      </c>
      <c r="H136">
        <v>10201</v>
      </c>
      <c r="I136">
        <v>0</v>
      </c>
      <c r="J136">
        <v>0</v>
      </c>
      <c r="K136">
        <v>0</v>
      </c>
      <c r="L136">
        <v>2</v>
      </c>
      <c r="M136">
        <v>5</v>
      </c>
      <c r="N136">
        <v>3</v>
      </c>
      <c r="O136">
        <v>0</v>
      </c>
      <c r="P136">
        <v>69340</v>
      </c>
      <c r="Q136">
        <v>0</v>
      </c>
      <c r="R136">
        <v>20</v>
      </c>
      <c r="S136" t="s">
        <v>67</v>
      </c>
      <c r="T136" t="s">
        <v>45</v>
      </c>
      <c r="U136">
        <v>2021</v>
      </c>
      <c r="V136" s="1">
        <v>30752</v>
      </c>
      <c r="W136" t="s">
        <v>68</v>
      </c>
      <c r="X136" t="s">
        <v>47</v>
      </c>
      <c r="Y136" t="s">
        <v>48</v>
      </c>
      <c r="Z136" t="s">
        <v>49</v>
      </c>
      <c r="AA136" t="s">
        <v>50</v>
      </c>
      <c r="AB136" s="1">
        <v>42527</v>
      </c>
      <c r="AD136" t="s">
        <v>51</v>
      </c>
      <c r="AE136" t="s">
        <v>52</v>
      </c>
      <c r="AF136" t="s">
        <v>53</v>
      </c>
      <c r="AG136" t="s">
        <v>72</v>
      </c>
      <c r="AH136">
        <v>16</v>
      </c>
      <c r="AI136" t="s">
        <v>55</v>
      </c>
      <c r="AJ136" t="s">
        <v>65</v>
      </c>
      <c r="AK136">
        <v>3</v>
      </c>
      <c r="AL136">
        <v>5</v>
      </c>
      <c r="AM136">
        <v>0</v>
      </c>
      <c r="AN136" s="1">
        <v>43483</v>
      </c>
      <c r="AO136">
        <v>0</v>
      </c>
      <c r="AP136">
        <v>4</v>
      </c>
    </row>
    <row r="137" spans="1:42">
      <c r="A137" t="s">
        <v>289</v>
      </c>
      <c r="B137" t="str">
        <f t="shared" si="6"/>
        <v>Rosalie</v>
      </c>
      <c r="C137" t="str">
        <f t="shared" si="7"/>
        <v>Hutter</v>
      </c>
      <c r="D137">
        <f t="shared" ca="1" si="8"/>
        <v>10</v>
      </c>
      <c r="E137" t="str" cm="1">
        <f t="array" ref="E137">_xlfn.IFS(P137&lt;40000, "Low", P137&lt;70000, "MID", P137&lt;100000, "HIGH", P137&gt;=100000, "Executive")</f>
        <v>MID</v>
      </c>
      <c r="F137" t="str" cm="1">
        <f t="array" ref="F137">_xlfn.IFS(AJ137="Exceeds", "Top Performer", AJ137="Fully Meets", "Solid Performer", AJ137="Needs Improvement", "Underperformer", AJ137="PIP", "At Risk")</f>
        <v>Solid Performer</v>
      </c>
      <c r="G137" t="str" cm="1">
        <f t="array" ref="G137">_xlfn.IFS(AE137="Active", "Retained", AE137="Voluntarily Terminated", "Voluntary Exit", AE137="Terminated for Cause", "Involuntary Exit")</f>
        <v>Retained</v>
      </c>
      <c r="H137">
        <v>10214</v>
      </c>
      <c r="I137">
        <v>0</v>
      </c>
      <c r="J137">
        <v>3</v>
      </c>
      <c r="K137">
        <v>0</v>
      </c>
      <c r="L137">
        <v>2</v>
      </c>
      <c r="M137">
        <v>5</v>
      </c>
      <c r="N137">
        <v>3</v>
      </c>
      <c r="O137">
        <v>0</v>
      </c>
      <c r="P137">
        <v>64995</v>
      </c>
      <c r="Q137">
        <v>0</v>
      </c>
      <c r="R137">
        <v>20</v>
      </c>
      <c r="S137" t="s">
        <v>67</v>
      </c>
      <c r="T137" t="s">
        <v>45</v>
      </c>
      <c r="U137">
        <v>2351</v>
      </c>
      <c r="V137" s="1">
        <v>33731</v>
      </c>
      <c r="W137" t="s">
        <v>68</v>
      </c>
      <c r="X137" t="s">
        <v>144</v>
      </c>
      <c r="Y137" t="s">
        <v>48</v>
      </c>
      <c r="Z137" t="s">
        <v>49</v>
      </c>
      <c r="AA137" t="s">
        <v>50</v>
      </c>
      <c r="AB137" s="1">
        <v>42160</v>
      </c>
      <c r="AD137" t="s">
        <v>51</v>
      </c>
      <c r="AE137" t="s">
        <v>52</v>
      </c>
      <c r="AF137" t="s">
        <v>53</v>
      </c>
      <c r="AG137" t="s">
        <v>76</v>
      </c>
      <c r="AI137" t="s">
        <v>64</v>
      </c>
      <c r="AJ137" t="s">
        <v>65</v>
      </c>
      <c r="AK137">
        <v>4.5</v>
      </c>
      <c r="AL137">
        <v>3</v>
      </c>
      <c r="AM137">
        <v>0</v>
      </c>
      <c r="AN137" s="1">
        <v>43510</v>
      </c>
      <c r="AO137">
        <v>0</v>
      </c>
      <c r="AP137">
        <v>6</v>
      </c>
    </row>
    <row r="138" spans="1:42">
      <c r="A138" t="s">
        <v>290</v>
      </c>
      <c r="B138" t="str">
        <f t="shared" si="6"/>
        <v>Ming</v>
      </c>
      <c r="C138" t="str">
        <f t="shared" si="7"/>
        <v>Huynh</v>
      </c>
      <c r="D138">
        <f t="shared" ca="1" si="8"/>
        <v>2</v>
      </c>
      <c r="E138" t="str" cm="1">
        <f t="array" ref="E138">_xlfn.IFS(P138&lt;40000, "Low", P138&lt;70000, "MID", P138&lt;100000, "HIGH", P138&gt;=100000, "Executive")</f>
        <v>MID</v>
      </c>
      <c r="F138" t="str" cm="1">
        <f t="array" ref="F138">_xlfn.IFS(AJ138="Exceeds", "Top Performer", AJ138="Fully Meets", "Solid Performer", AJ138="Needs Improvement", "Underperformer", AJ138="PIP", "At Risk")</f>
        <v>Solid Performer</v>
      </c>
      <c r="G138" t="str" cm="1">
        <f t="array" ref="G138">_xlfn.IFS(AE138="Active", "Retained", AE138="Voluntarily Terminated", "Voluntary Exit", AE138="Terminated for Cause", "Involuntary Exit")</f>
        <v>Voluntary Exit</v>
      </c>
      <c r="H138">
        <v>10160</v>
      </c>
      <c r="I138">
        <v>0</v>
      </c>
      <c r="J138">
        <v>2</v>
      </c>
      <c r="K138">
        <v>0</v>
      </c>
      <c r="L138">
        <v>5</v>
      </c>
      <c r="M138">
        <v>5</v>
      </c>
      <c r="N138">
        <v>3</v>
      </c>
      <c r="O138">
        <v>0</v>
      </c>
      <c r="P138">
        <v>68182</v>
      </c>
      <c r="Q138">
        <v>1</v>
      </c>
      <c r="R138">
        <v>20</v>
      </c>
      <c r="S138" t="s">
        <v>67</v>
      </c>
      <c r="T138" t="s">
        <v>45</v>
      </c>
      <c r="U138">
        <v>1742</v>
      </c>
      <c r="V138" s="1">
        <v>28025</v>
      </c>
      <c r="W138" t="s">
        <v>68</v>
      </c>
      <c r="X138" t="s">
        <v>74</v>
      </c>
      <c r="Y138" t="s">
        <v>48</v>
      </c>
      <c r="Z138" t="s">
        <v>49</v>
      </c>
      <c r="AA138" t="s">
        <v>50</v>
      </c>
      <c r="AB138" s="1">
        <v>40595</v>
      </c>
      <c r="AC138" s="1">
        <v>41365</v>
      </c>
      <c r="AD138" t="s">
        <v>100</v>
      </c>
      <c r="AE138" t="s">
        <v>61</v>
      </c>
      <c r="AF138" t="s">
        <v>53</v>
      </c>
      <c r="AG138" t="s">
        <v>79</v>
      </c>
      <c r="AH138">
        <v>11</v>
      </c>
      <c r="AI138" t="s">
        <v>77</v>
      </c>
      <c r="AJ138" t="s">
        <v>65</v>
      </c>
      <c r="AK138">
        <v>3.72</v>
      </c>
      <c r="AL138">
        <v>3</v>
      </c>
      <c r="AM138">
        <v>0</v>
      </c>
      <c r="AN138" s="1">
        <v>41306</v>
      </c>
      <c r="AO138">
        <v>0</v>
      </c>
      <c r="AP138">
        <v>18</v>
      </c>
    </row>
    <row r="139" spans="1:42">
      <c r="A139" t="s">
        <v>291</v>
      </c>
      <c r="B139" t="str">
        <f t="shared" si="6"/>
        <v>Walter</v>
      </c>
      <c r="C139" t="str">
        <f t="shared" si="7"/>
        <v>Immediato</v>
      </c>
      <c r="D139">
        <f t="shared" ca="1" si="8"/>
        <v>1</v>
      </c>
      <c r="E139" t="str" cm="1">
        <f t="array" ref="E139">_xlfn.IFS(P139&lt;40000, "Low", P139&lt;70000, "MID", P139&lt;100000, "HIGH", P139&gt;=100000, "Executive")</f>
        <v>HIGH</v>
      </c>
      <c r="F139" t="str" cm="1">
        <f t="array" ref="F139">_xlfn.IFS(AJ139="Exceeds", "Top Performer", AJ139="Fully Meets", "Solid Performer", AJ139="Needs Improvement", "Underperformer", AJ139="PIP", "At Risk")</f>
        <v>Underperformer</v>
      </c>
      <c r="G139" t="str" cm="1">
        <f t="array" ref="G139">_xlfn.IFS(AE139="Active", "Retained", AE139="Voluntarily Terminated", "Voluntary Exit", AE139="Terminated for Cause", "Involuntary Exit")</f>
        <v>Voluntary Exit</v>
      </c>
      <c r="H139">
        <v>10289</v>
      </c>
      <c r="I139">
        <v>1</v>
      </c>
      <c r="J139">
        <v>1</v>
      </c>
      <c r="K139">
        <v>1</v>
      </c>
      <c r="L139">
        <v>5</v>
      </c>
      <c r="M139">
        <v>5</v>
      </c>
      <c r="N139">
        <v>2</v>
      </c>
      <c r="O139">
        <v>0</v>
      </c>
      <c r="P139">
        <v>83082</v>
      </c>
      <c r="Q139">
        <v>1</v>
      </c>
      <c r="R139">
        <v>18</v>
      </c>
      <c r="S139" t="s">
        <v>136</v>
      </c>
      <c r="T139" t="s">
        <v>45</v>
      </c>
      <c r="U139">
        <v>2128</v>
      </c>
      <c r="V139" s="1">
        <v>28079</v>
      </c>
      <c r="W139" t="s">
        <v>46</v>
      </c>
      <c r="X139" t="s">
        <v>59</v>
      </c>
      <c r="Y139" t="s">
        <v>48</v>
      </c>
      <c r="Z139" t="s">
        <v>49</v>
      </c>
      <c r="AA139" t="s">
        <v>119</v>
      </c>
      <c r="AB139" s="1">
        <v>40595</v>
      </c>
      <c r="AC139" s="1">
        <v>41176</v>
      </c>
      <c r="AD139" t="s">
        <v>100</v>
      </c>
      <c r="AE139" t="s">
        <v>61</v>
      </c>
      <c r="AF139" t="s">
        <v>53</v>
      </c>
      <c r="AG139" t="s">
        <v>138</v>
      </c>
      <c r="AH139">
        <v>2</v>
      </c>
      <c r="AI139" t="s">
        <v>64</v>
      </c>
      <c r="AJ139" t="s">
        <v>125</v>
      </c>
      <c r="AK139">
        <v>2.34</v>
      </c>
      <c r="AL139">
        <v>2</v>
      </c>
      <c r="AM139">
        <v>0</v>
      </c>
      <c r="AN139" s="1">
        <v>41011</v>
      </c>
      <c r="AO139">
        <v>3</v>
      </c>
      <c r="AP139">
        <v>4</v>
      </c>
    </row>
    <row r="140" spans="1:42">
      <c r="A140" t="s">
        <v>292</v>
      </c>
      <c r="B140" t="str">
        <f t="shared" si="6"/>
        <v>Rose</v>
      </c>
      <c r="C140" t="str">
        <f t="shared" si="7"/>
        <v>Ivey</v>
      </c>
      <c r="D140">
        <f t="shared" ca="1" si="8"/>
        <v>12</v>
      </c>
      <c r="E140" t="str" cm="1">
        <f t="array" ref="E140">_xlfn.IFS(P140&lt;40000, "Low", P140&lt;70000, "MID", P140&lt;100000, "HIGH", P140&gt;=100000, "Executive")</f>
        <v>MID</v>
      </c>
      <c r="F140" t="str" cm="1">
        <f t="array" ref="F140">_xlfn.IFS(AJ140="Exceeds", "Top Performer", AJ140="Fully Meets", "Solid Performer", AJ140="Needs Improvement", "Underperformer", AJ140="PIP", "At Risk")</f>
        <v>Solid Performer</v>
      </c>
      <c r="G140" t="str" cm="1">
        <f t="array" ref="G140">_xlfn.IFS(AE140="Active", "Retained", AE140="Voluntarily Terminated", "Voluntary Exit", AE140="Terminated for Cause", "Involuntary Exit")</f>
        <v>Retained</v>
      </c>
      <c r="H140">
        <v>10139</v>
      </c>
      <c r="I140">
        <v>0</v>
      </c>
      <c r="J140">
        <v>0</v>
      </c>
      <c r="K140">
        <v>0</v>
      </c>
      <c r="L140">
        <v>1</v>
      </c>
      <c r="M140">
        <v>5</v>
      </c>
      <c r="N140">
        <v>3</v>
      </c>
      <c r="O140">
        <v>0</v>
      </c>
      <c r="P140">
        <v>51908</v>
      </c>
      <c r="Q140">
        <v>0</v>
      </c>
      <c r="R140">
        <v>19</v>
      </c>
      <c r="S140" t="s">
        <v>44</v>
      </c>
      <c r="T140" t="s">
        <v>45</v>
      </c>
      <c r="U140">
        <v>1775</v>
      </c>
      <c r="V140" s="1">
        <v>33266</v>
      </c>
      <c r="W140" t="s">
        <v>68</v>
      </c>
      <c r="X140" t="s">
        <v>47</v>
      </c>
      <c r="Y140" t="s">
        <v>48</v>
      </c>
      <c r="Z140" t="s">
        <v>49</v>
      </c>
      <c r="AA140" t="s">
        <v>50</v>
      </c>
      <c r="AB140" s="1">
        <v>41505</v>
      </c>
      <c r="AD140" t="s">
        <v>51</v>
      </c>
      <c r="AE140" t="s">
        <v>52</v>
      </c>
      <c r="AF140" t="s">
        <v>53</v>
      </c>
      <c r="AG140" t="s">
        <v>90</v>
      </c>
      <c r="AH140">
        <v>12</v>
      </c>
      <c r="AI140" t="s">
        <v>64</v>
      </c>
      <c r="AJ140" t="s">
        <v>65</v>
      </c>
      <c r="AK140">
        <v>3.99</v>
      </c>
      <c r="AL140">
        <v>3</v>
      </c>
      <c r="AM140">
        <v>0</v>
      </c>
      <c r="AN140" s="1">
        <v>43479</v>
      </c>
      <c r="AO140">
        <v>0</v>
      </c>
      <c r="AP140">
        <v>14</v>
      </c>
    </row>
    <row r="141" spans="1:42">
      <c r="A141" t="s">
        <v>293</v>
      </c>
      <c r="B141" t="str">
        <f t="shared" si="6"/>
        <v>Maryellen</v>
      </c>
      <c r="C141" t="str">
        <f t="shared" si="7"/>
        <v>Jackson</v>
      </c>
      <c r="D141">
        <f t="shared" ca="1" si="8"/>
        <v>13</v>
      </c>
      <c r="E141" t="str" cm="1">
        <f t="array" ref="E141">_xlfn.IFS(P141&lt;40000, "Low", P141&lt;70000, "MID", P141&lt;100000, "HIGH", P141&gt;=100000, "Executive")</f>
        <v>MID</v>
      </c>
      <c r="F141" t="str" cm="1">
        <f t="array" ref="F141">_xlfn.IFS(AJ141="Exceeds", "Top Performer", AJ141="Fully Meets", "Solid Performer", AJ141="Needs Improvement", "Underperformer", AJ141="PIP", "At Risk")</f>
        <v>Solid Performer</v>
      </c>
      <c r="G141" t="str" cm="1">
        <f t="array" ref="G141">_xlfn.IFS(AE141="Active", "Retained", AE141="Voluntarily Terminated", "Voluntary Exit", AE141="Terminated for Cause", "Involuntary Exit")</f>
        <v>Retained</v>
      </c>
      <c r="H141">
        <v>10227</v>
      </c>
      <c r="I141">
        <v>0</v>
      </c>
      <c r="J141">
        <v>0</v>
      </c>
      <c r="K141">
        <v>0</v>
      </c>
      <c r="L141">
        <v>1</v>
      </c>
      <c r="M141">
        <v>5</v>
      </c>
      <c r="N141">
        <v>3</v>
      </c>
      <c r="O141">
        <v>0</v>
      </c>
      <c r="P141">
        <v>61242</v>
      </c>
      <c r="Q141">
        <v>0</v>
      </c>
      <c r="R141">
        <v>19</v>
      </c>
      <c r="S141" t="s">
        <v>44</v>
      </c>
      <c r="T141" t="s">
        <v>45</v>
      </c>
      <c r="U141">
        <v>2081</v>
      </c>
      <c r="V141" s="1">
        <v>26553</v>
      </c>
      <c r="W141" t="s">
        <v>68</v>
      </c>
      <c r="X141" t="s">
        <v>47</v>
      </c>
      <c r="Y141" t="s">
        <v>48</v>
      </c>
      <c r="Z141" t="s">
        <v>49</v>
      </c>
      <c r="AA141" t="s">
        <v>89</v>
      </c>
      <c r="AB141" s="1">
        <v>41218</v>
      </c>
      <c r="AD141" t="s">
        <v>51</v>
      </c>
      <c r="AE141" t="s">
        <v>52</v>
      </c>
      <c r="AF141" t="s">
        <v>53</v>
      </c>
      <c r="AG141" t="s">
        <v>98</v>
      </c>
      <c r="AH141">
        <v>14</v>
      </c>
      <c r="AI141" t="s">
        <v>55</v>
      </c>
      <c r="AJ141" t="s">
        <v>65</v>
      </c>
      <c r="AK141">
        <v>4.0999999999999996</v>
      </c>
      <c r="AL141">
        <v>3</v>
      </c>
      <c r="AM141">
        <v>0</v>
      </c>
      <c r="AN141" s="1">
        <v>43482</v>
      </c>
      <c r="AO141">
        <v>0</v>
      </c>
      <c r="AP141">
        <v>7</v>
      </c>
    </row>
    <row r="142" spans="1:42">
      <c r="A142" t="s">
        <v>294</v>
      </c>
      <c r="B142" t="str">
        <f t="shared" si="6"/>
        <v>Hannah</v>
      </c>
      <c r="C142" t="str">
        <f t="shared" si="7"/>
        <v>Jacobi</v>
      </c>
      <c r="D142">
        <f t="shared" ca="1" si="8"/>
        <v>12</v>
      </c>
      <c r="E142" t="str" cm="1">
        <f t="array" ref="E142">_xlfn.IFS(P142&lt;40000, "Low", P142&lt;70000, "MID", P142&lt;100000, "HIGH", P142&gt;=100000, "Executive")</f>
        <v>MID</v>
      </c>
      <c r="F142" t="str" cm="1">
        <f t="array" ref="F142">_xlfn.IFS(AJ142="Exceeds", "Top Performer", AJ142="Fully Meets", "Solid Performer", AJ142="Needs Improvement", "Underperformer", AJ142="PIP", "At Risk")</f>
        <v>Solid Performer</v>
      </c>
      <c r="G142" t="str" cm="1">
        <f t="array" ref="G142">_xlfn.IFS(AE142="Active", "Retained", AE142="Voluntarily Terminated", "Voluntary Exit", AE142="Terminated for Cause", "Involuntary Exit")</f>
        <v>Retained</v>
      </c>
      <c r="H142">
        <v>10236</v>
      </c>
      <c r="I142">
        <v>0</v>
      </c>
      <c r="J142">
        <v>2</v>
      </c>
      <c r="K142">
        <v>0</v>
      </c>
      <c r="L142">
        <v>1</v>
      </c>
      <c r="M142">
        <v>5</v>
      </c>
      <c r="N142">
        <v>3</v>
      </c>
      <c r="O142">
        <v>0</v>
      </c>
      <c r="P142">
        <v>45069</v>
      </c>
      <c r="Q142">
        <v>0</v>
      </c>
      <c r="R142">
        <v>19</v>
      </c>
      <c r="S142" t="s">
        <v>44</v>
      </c>
      <c r="T142" t="s">
        <v>45</v>
      </c>
      <c r="U142">
        <v>1778</v>
      </c>
      <c r="V142" s="1">
        <v>24188</v>
      </c>
      <c r="W142" t="s">
        <v>68</v>
      </c>
      <c r="X142" t="s">
        <v>74</v>
      </c>
      <c r="Y142" t="s">
        <v>48</v>
      </c>
      <c r="Z142" t="s">
        <v>49</v>
      </c>
      <c r="AA142" t="s">
        <v>50</v>
      </c>
      <c r="AB142" s="1">
        <v>41547</v>
      </c>
      <c r="AD142" t="s">
        <v>51</v>
      </c>
      <c r="AE142" t="s">
        <v>52</v>
      </c>
      <c r="AF142" t="s">
        <v>53</v>
      </c>
      <c r="AG142" t="s">
        <v>70</v>
      </c>
      <c r="AH142">
        <v>20</v>
      </c>
      <c r="AI142" t="s">
        <v>87</v>
      </c>
      <c r="AJ142" t="s">
        <v>65</v>
      </c>
      <c r="AK142">
        <v>4.3</v>
      </c>
      <c r="AL142">
        <v>5</v>
      </c>
      <c r="AM142">
        <v>0</v>
      </c>
      <c r="AN142" s="1">
        <v>43518</v>
      </c>
      <c r="AO142">
        <v>0</v>
      </c>
      <c r="AP142">
        <v>7</v>
      </c>
    </row>
    <row r="143" spans="1:42">
      <c r="A143" t="s">
        <v>295</v>
      </c>
      <c r="B143" t="str">
        <f t="shared" si="6"/>
        <v>Tayana</v>
      </c>
      <c r="C143" t="str">
        <f t="shared" si="7"/>
        <v>Jeannite</v>
      </c>
      <c r="D143">
        <f t="shared" ca="1" si="8"/>
        <v>14</v>
      </c>
      <c r="E143" t="str" cm="1">
        <f t="array" ref="E143">_xlfn.IFS(P143&lt;40000, "Low", P143&lt;70000, "MID", P143&lt;100000, "HIGH", P143&gt;=100000, "Executive")</f>
        <v>MID</v>
      </c>
      <c r="F143" t="str" cm="1">
        <f t="array" ref="F143">_xlfn.IFS(AJ143="Exceeds", "Top Performer", AJ143="Fully Meets", "Solid Performer", AJ143="Needs Improvement", "Underperformer", AJ143="PIP", "At Risk")</f>
        <v>Top Performer</v>
      </c>
      <c r="G143" t="str" cm="1">
        <f t="array" ref="G143">_xlfn.IFS(AE143="Active", "Retained", AE143="Voluntarily Terminated", "Voluntary Exit", AE143="Terminated for Cause", "Involuntary Exit")</f>
        <v>Retained</v>
      </c>
      <c r="H143">
        <v>10009</v>
      </c>
      <c r="I143">
        <v>0</v>
      </c>
      <c r="J143">
        <v>2</v>
      </c>
      <c r="K143">
        <v>0</v>
      </c>
      <c r="L143">
        <v>1</v>
      </c>
      <c r="M143">
        <v>5</v>
      </c>
      <c r="N143">
        <v>4</v>
      </c>
      <c r="O143">
        <v>0</v>
      </c>
      <c r="P143">
        <v>60724</v>
      </c>
      <c r="Q143">
        <v>0</v>
      </c>
      <c r="R143">
        <v>20</v>
      </c>
      <c r="S143" t="s">
        <v>67</v>
      </c>
      <c r="T143" t="s">
        <v>45</v>
      </c>
      <c r="U143">
        <v>1821</v>
      </c>
      <c r="V143" s="1">
        <v>31722</v>
      </c>
      <c r="W143" t="s">
        <v>68</v>
      </c>
      <c r="X143" t="s">
        <v>74</v>
      </c>
      <c r="Y143" t="s">
        <v>48</v>
      </c>
      <c r="Z143" t="s">
        <v>49</v>
      </c>
      <c r="AA143" t="s">
        <v>265</v>
      </c>
      <c r="AB143" s="1">
        <v>40729</v>
      </c>
      <c r="AD143" t="s">
        <v>51</v>
      </c>
      <c r="AE143" t="s">
        <v>52</v>
      </c>
      <c r="AF143" t="s">
        <v>53</v>
      </c>
      <c r="AG143" t="s">
        <v>86</v>
      </c>
      <c r="AH143">
        <v>19</v>
      </c>
      <c r="AI143" t="s">
        <v>55</v>
      </c>
      <c r="AJ143" t="s">
        <v>56</v>
      </c>
      <c r="AK143">
        <v>4.5999999999999996</v>
      </c>
      <c r="AL143">
        <v>4</v>
      </c>
      <c r="AM143">
        <v>0</v>
      </c>
      <c r="AN143" s="1">
        <v>43521</v>
      </c>
      <c r="AO143">
        <v>0</v>
      </c>
      <c r="AP143">
        <v>11</v>
      </c>
    </row>
    <row r="144" spans="1:42">
      <c r="A144" t="s">
        <v>296</v>
      </c>
      <c r="B144" t="str">
        <f t="shared" si="6"/>
        <v>Sneha</v>
      </c>
      <c r="C144" t="str">
        <f t="shared" si="7"/>
        <v>Jhaveri</v>
      </c>
      <c r="D144">
        <f t="shared" ca="1" si="8"/>
        <v>12</v>
      </c>
      <c r="E144" t="str" cm="1">
        <f t="array" ref="E144">_xlfn.IFS(P144&lt;40000, "Low", P144&lt;70000, "MID", P144&lt;100000, "HIGH", P144&gt;=100000, "Executive")</f>
        <v>MID</v>
      </c>
      <c r="F144" t="str" cm="1">
        <f t="array" ref="F144">_xlfn.IFS(AJ144="Exceeds", "Top Performer", AJ144="Fully Meets", "Solid Performer", AJ144="Needs Improvement", "Underperformer", AJ144="PIP", "At Risk")</f>
        <v>Solid Performer</v>
      </c>
      <c r="G144" t="str" cm="1">
        <f t="array" ref="G144">_xlfn.IFS(AE144="Active", "Retained", AE144="Voluntarily Terminated", "Voluntary Exit", AE144="Terminated for Cause", "Involuntary Exit")</f>
        <v>Retained</v>
      </c>
      <c r="H144">
        <v>10060</v>
      </c>
      <c r="I144">
        <v>0</v>
      </c>
      <c r="J144">
        <v>3</v>
      </c>
      <c r="K144">
        <v>0</v>
      </c>
      <c r="L144">
        <v>1</v>
      </c>
      <c r="M144">
        <v>5</v>
      </c>
      <c r="N144">
        <v>3</v>
      </c>
      <c r="O144">
        <v>0</v>
      </c>
      <c r="P144">
        <v>60436</v>
      </c>
      <c r="Q144">
        <v>0</v>
      </c>
      <c r="R144">
        <v>19</v>
      </c>
      <c r="S144" t="s">
        <v>44</v>
      </c>
      <c r="T144" t="s">
        <v>45</v>
      </c>
      <c r="U144">
        <v>2109</v>
      </c>
      <c r="V144" s="1">
        <v>23480</v>
      </c>
      <c r="W144" t="s">
        <v>68</v>
      </c>
      <c r="X144" t="s">
        <v>144</v>
      </c>
      <c r="Y144" t="s">
        <v>48</v>
      </c>
      <c r="Z144" t="s">
        <v>49</v>
      </c>
      <c r="AA144" t="s">
        <v>50</v>
      </c>
      <c r="AB144" s="1">
        <v>41645</v>
      </c>
      <c r="AD144" t="s">
        <v>51</v>
      </c>
      <c r="AE144" t="s">
        <v>52</v>
      </c>
      <c r="AF144" t="s">
        <v>53</v>
      </c>
      <c r="AG144" t="s">
        <v>106</v>
      </c>
      <c r="AH144">
        <v>18</v>
      </c>
      <c r="AI144" t="s">
        <v>55</v>
      </c>
      <c r="AJ144" t="s">
        <v>65</v>
      </c>
      <c r="AK144">
        <v>5</v>
      </c>
      <c r="AL144">
        <v>5</v>
      </c>
      <c r="AM144">
        <v>0</v>
      </c>
      <c r="AN144" s="1">
        <v>43486</v>
      </c>
      <c r="AO144">
        <v>0</v>
      </c>
      <c r="AP144">
        <v>9</v>
      </c>
    </row>
    <row r="145" spans="1:42">
      <c r="A145" t="s">
        <v>297</v>
      </c>
      <c r="B145" t="str">
        <f t="shared" si="6"/>
        <v>George</v>
      </c>
      <c r="C145" t="str">
        <f t="shared" si="7"/>
        <v>Johnson</v>
      </c>
      <c r="D145">
        <f t="shared" ca="1" si="8"/>
        <v>6</v>
      </c>
      <c r="E145" t="str" cm="1">
        <f t="array" ref="E145">_xlfn.IFS(P145&lt;40000, "Low", P145&lt;70000, "MID", P145&lt;100000, "HIGH", P145&gt;=100000, "Executive")</f>
        <v>MID</v>
      </c>
      <c r="F145" t="str" cm="1">
        <f t="array" ref="F145">_xlfn.IFS(AJ145="Exceeds", "Top Performer", AJ145="Fully Meets", "Solid Performer", AJ145="Needs Improvement", "Underperformer", AJ145="PIP", "At Risk")</f>
        <v>Top Performer</v>
      </c>
      <c r="G145" t="str" cm="1">
        <f t="array" ref="G145">_xlfn.IFS(AE145="Active", "Retained", AE145="Voluntarily Terminated", "Voluntary Exit", AE145="Terminated for Cause", "Involuntary Exit")</f>
        <v>Voluntary Exit</v>
      </c>
      <c r="H145">
        <v>10034</v>
      </c>
      <c r="I145">
        <v>1</v>
      </c>
      <c r="J145">
        <v>1</v>
      </c>
      <c r="K145">
        <v>1</v>
      </c>
      <c r="L145">
        <v>5</v>
      </c>
      <c r="M145">
        <v>5</v>
      </c>
      <c r="N145">
        <v>4</v>
      </c>
      <c r="O145">
        <v>0</v>
      </c>
      <c r="P145">
        <v>46837</v>
      </c>
      <c r="Q145">
        <v>1</v>
      </c>
      <c r="R145">
        <v>19</v>
      </c>
      <c r="S145" t="s">
        <v>44</v>
      </c>
      <c r="T145" t="s">
        <v>45</v>
      </c>
      <c r="U145">
        <v>2445</v>
      </c>
      <c r="V145" s="1">
        <v>21781</v>
      </c>
      <c r="W145" t="s">
        <v>46</v>
      </c>
      <c r="X145" t="s">
        <v>59</v>
      </c>
      <c r="Y145" t="s">
        <v>48</v>
      </c>
      <c r="Z145" t="s">
        <v>49</v>
      </c>
      <c r="AA145" t="s">
        <v>50</v>
      </c>
      <c r="AB145" s="1">
        <v>40854</v>
      </c>
      <c r="AC145" s="1">
        <v>43219</v>
      </c>
      <c r="AD145" t="s">
        <v>200</v>
      </c>
      <c r="AE145" t="s">
        <v>61</v>
      </c>
      <c r="AF145" t="s">
        <v>53</v>
      </c>
      <c r="AG145" t="s">
        <v>54</v>
      </c>
      <c r="AH145">
        <v>22</v>
      </c>
      <c r="AI145" t="s">
        <v>124</v>
      </c>
      <c r="AJ145" t="s">
        <v>56</v>
      </c>
      <c r="AK145">
        <v>4.7</v>
      </c>
      <c r="AL145">
        <v>4</v>
      </c>
      <c r="AM145">
        <v>0</v>
      </c>
      <c r="AN145" s="1">
        <v>43145</v>
      </c>
      <c r="AO145">
        <v>0</v>
      </c>
      <c r="AP145">
        <v>9</v>
      </c>
    </row>
    <row r="146" spans="1:42">
      <c r="A146" t="s">
        <v>298</v>
      </c>
      <c r="B146" t="str">
        <f t="shared" si="6"/>
        <v>Noelle</v>
      </c>
      <c r="C146" t="str">
        <f t="shared" si="7"/>
        <v>Johnson</v>
      </c>
      <c r="D146">
        <f t="shared" ca="1" si="8"/>
        <v>11</v>
      </c>
      <c r="E146" t="str" cm="1">
        <f t="array" ref="E146">_xlfn.IFS(P146&lt;40000, "Low", P146&lt;70000, "MID", P146&lt;100000, "HIGH", P146&gt;=100000, "Executive")</f>
        <v>Executive</v>
      </c>
      <c r="F146" t="str" cm="1">
        <f t="array" ref="F146">_xlfn.IFS(AJ146="Exceeds", "Top Performer", AJ146="Fully Meets", "Solid Performer", AJ146="Needs Improvement", "Underperformer", AJ146="PIP", "At Risk")</f>
        <v>Solid Performer</v>
      </c>
      <c r="G146" t="str" cm="1">
        <f t="array" ref="G146">_xlfn.IFS(AE146="Active", "Retained", AE146="Voluntarily Terminated", "Voluntary Exit", AE146="Terminated for Cause", "Involuntary Exit")</f>
        <v>Retained</v>
      </c>
      <c r="H146">
        <v>10156</v>
      </c>
      <c r="I146">
        <v>1</v>
      </c>
      <c r="J146">
        <v>1</v>
      </c>
      <c r="K146">
        <v>0</v>
      </c>
      <c r="L146">
        <v>3</v>
      </c>
      <c r="M146">
        <v>3</v>
      </c>
      <c r="N146">
        <v>3</v>
      </c>
      <c r="O146">
        <v>0</v>
      </c>
      <c r="P146">
        <v>105700</v>
      </c>
      <c r="Q146">
        <v>0</v>
      </c>
      <c r="R146">
        <v>8</v>
      </c>
      <c r="S146" t="s">
        <v>116</v>
      </c>
      <c r="T146" t="s">
        <v>45</v>
      </c>
      <c r="U146">
        <v>2301</v>
      </c>
      <c r="V146" s="1">
        <v>31723</v>
      </c>
      <c r="W146" t="s">
        <v>68</v>
      </c>
      <c r="X146" t="s">
        <v>59</v>
      </c>
      <c r="Y146" t="s">
        <v>48</v>
      </c>
      <c r="Z146" t="s">
        <v>49</v>
      </c>
      <c r="AA146" t="s">
        <v>119</v>
      </c>
      <c r="AB146" s="1">
        <v>42009</v>
      </c>
      <c r="AD146" t="s">
        <v>51</v>
      </c>
      <c r="AE146" t="s">
        <v>52</v>
      </c>
      <c r="AF146" t="s">
        <v>62</v>
      </c>
      <c r="AG146" t="s">
        <v>63</v>
      </c>
      <c r="AH146">
        <v>4</v>
      </c>
      <c r="AI146" t="s">
        <v>64</v>
      </c>
      <c r="AJ146" t="s">
        <v>65</v>
      </c>
      <c r="AK146">
        <v>3.75</v>
      </c>
      <c r="AL146">
        <v>3</v>
      </c>
      <c r="AM146">
        <v>5</v>
      </c>
      <c r="AN146" s="1">
        <v>43507</v>
      </c>
      <c r="AO146">
        <v>0</v>
      </c>
      <c r="AP146">
        <v>2</v>
      </c>
    </row>
    <row r="147" spans="1:42">
      <c r="A147" t="s">
        <v>299</v>
      </c>
      <c r="B147" t="str">
        <f t="shared" si="6"/>
        <v>Yen</v>
      </c>
      <c r="C147" t="str">
        <f t="shared" si="7"/>
        <v>Johnston</v>
      </c>
      <c r="D147">
        <f t="shared" ca="1" si="8"/>
        <v>11</v>
      </c>
      <c r="E147" t="str" cm="1">
        <f t="array" ref="E147">_xlfn.IFS(P147&lt;40000, "Low", P147&lt;70000, "MID", P147&lt;100000, "HIGH", P147&gt;=100000, "Executive")</f>
        <v>MID</v>
      </c>
      <c r="F147" t="str" cm="1">
        <f t="array" ref="F147">_xlfn.IFS(AJ147="Exceeds", "Top Performer", AJ147="Fully Meets", "Solid Performer", AJ147="Needs Improvement", "Underperformer", AJ147="PIP", "At Risk")</f>
        <v>Top Performer</v>
      </c>
      <c r="G147" t="str" cm="1">
        <f t="array" ref="G147">_xlfn.IFS(AE147="Active", "Retained", AE147="Voluntarily Terminated", "Voluntary Exit", AE147="Terminated for Cause", "Involuntary Exit")</f>
        <v>Retained</v>
      </c>
      <c r="H147">
        <v>10036</v>
      </c>
      <c r="I147">
        <v>0</v>
      </c>
      <c r="J147">
        <v>0</v>
      </c>
      <c r="K147">
        <v>0</v>
      </c>
      <c r="L147">
        <v>1</v>
      </c>
      <c r="M147">
        <v>5</v>
      </c>
      <c r="N147">
        <v>4</v>
      </c>
      <c r="O147">
        <v>0</v>
      </c>
      <c r="P147">
        <v>63322</v>
      </c>
      <c r="Q147">
        <v>0</v>
      </c>
      <c r="R147">
        <v>20</v>
      </c>
      <c r="S147" t="s">
        <v>67</v>
      </c>
      <c r="T147" t="s">
        <v>45</v>
      </c>
      <c r="U147">
        <v>2128</v>
      </c>
      <c r="V147" s="1">
        <v>25454</v>
      </c>
      <c r="W147" t="s">
        <v>68</v>
      </c>
      <c r="X147" t="s">
        <v>47</v>
      </c>
      <c r="Y147" t="s">
        <v>48</v>
      </c>
      <c r="Z147" t="s">
        <v>49</v>
      </c>
      <c r="AA147" t="s">
        <v>50</v>
      </c>
      <c r="AB147" s="1">
        <v>41827</v>
      </c>
      <c r="AD147" t="s">
        <v>51</v>
      </c>
      <c r="AE147" t="s">
        <v>52</v>
      </c>
      <c r="AF147" t="s">
        <v>53</v>
      </c>
      <c r="AG147" t="s">
        <v>90</v>
      </c>
      <c r="AH147">
        <v>12</v>
      </c>
      <c r="AI147" t="s">
        <v>55</v>
      </c>
      <c r="AJ147" t="s">
        <v>56</v>
      </c>
      <c r="AK147">
        <v>4.3</v>
      </c>
      <c r="AL147">
        <v>3</v>
      </c>
      <c r="AM147">
        <v>0</v>
      </c>
      <c r="AN147" s="1">
        <v>43476</v>
      </c>
      <c r="AO147">
        <v>0</v>
      </c>
      <c r="AP147">
        <v>1</v>
      </c>
    </row>
    <row r="148" spans="1:42">
      <c r="A148" t="s">
        <v>300</v>
      </c>
      <c r="B148" t="str">
        <f t="shared" si="6"/>
        <v>Judy</v>
      </c>
      <c r="C148" t="str">
        <f t="shared" si="7"/>
        <v>Jung</v>
      </c>
      <c r="D148">
        <f t="shared" ca="1" si="8"/>
        <v>5</v>
      </c>
      <c r="E148" t="str" cm="1">
        <f t="array" ref="E148">_xlfn.IFS(P148&lt;40000, "Low", P148&lt;70000, "MID", P148&lt;100000, "HIGH", P148&gt;=100000, "Executive")</f>
        <v>MID</v>
      </c>
      <c r="F148" t="str" cm="1">
        <f t="array" ref="F148">_xlfn.IFS(AJ148="Exceeds", "Top Performer", AJ148="Fully Meets", "Solid Performer", AJ148="Needs Improvement", "Underperformer", AJ148="PIP", "At Risk")</f>
        <v>Solid Performer</v>
      </c>
      <c r="G148" t="str" cm="1">
        <f t="array" ref="G148">_xlfn.IFS(AE148="Active", "Retained", AE148="Voluntarily Terminated", "Voluntary Exit", AE148="Terminated for Cause", "Involuntary Exit")</f>
        <v>Voluntary Exit</v>
      </c>
      <c r="H148">
        <v>10138</v>
      </c>
      <c r="I148">
        <v>1</v>
      </c>
      <c r="J148">
        <v>1</v>
      </c>
      <c r="K148">
        <v>0</v>
      </c>
      <c r="L148">
        <v>5</v>
      </c>
      <c r="M148">
        <v>5</v>
      </c>
      <c r="N148">
        <v>3</v>
      </c>
      <c r="O148">
        <v>0</v>
      </c>
      <c r="P148">
        <v>61154</v>
      </c>
      <c r="Q148">
        <v>1</v>
      </c>
      <c r="R148">
        <v>19</v>
      </c>
      <c r="S148" t="s">
        <v>44</v>
      </c>
      <c r="T148" t="s">
        <v>45</v>
      </c>
      <c r="U148">
        <v>2446</v>
      </c>
      <c r="V148" s="1">
        <v>31519</v>
      </c>
      <c r="W148" t="s">
        <v>68</v>
      </c>
      <c r="X148" t="s">
        <v>59</v>
      </c>
      <c r="Y148" t="s">
        <v>48</v>
      </c>
      <c r="Z148" t="s">
        <v>49</v>
      </c>
      <c r="AA148" t="s">
        <v>89</v>
      </c>
      <c r="AB148" s="1">
        <v>40553</v>
      </c>
      <c r="AC148" s="1">
        <v>42461</v>
      </c>
      <c r="AD148" t="s">
        <v>100</v>
      </c>
      <c r="AE148" t="s">
        <v>61</v>
      </c>
      <c r="AF148" t="s">
        <v>53</v>
      </c>
      <c r="AG148" t="s">
        <v>72</v>
      </c>
      <c r="AH148">
        <v>16</v>
      </c>
      <c r="AI148" t="s">
        <v>124</v>
      </c>
      <c r="AJ148" t="s">
        <v>65</v>
      </c>
      <c r="AK148">
        <v>4</v>
      </c>
      <c r="AL148">
        <v>4</v>
      </c>
      <c r="AM148">
        <v>0</v>
      </c>
      <c r="AN148" s="1">
        <v>42403</v>
      </c>
      <c r="AO148">
        <v>0</v>
      </c>
      <c r="AP148">
        <v>4</v>
      </c>
    </row>
    <row r="149" spans="1:42">
      <c r="A149" t="s">
        <v>301</v>
      </c>
      <c r="B149" t="str">
        <f t="shared" si="6"/>
        <v>Donysha</v>
      </c>
      <c r="C149" t="str">
        <f t="shared" si="7"/>
        <v>Kampew</v>
      </c>
      <c r="D149">
        <f t="shared" ca="1" si="8"/>
        <v>2</v>
      </c>
      <c r="E149" t="str" cm="1">
        <f t="array" ref="E149">_xlfn.IFS(P149&lt;40000, "Low", P149&lt;70000, "MID", P149&lt;100000, "HIGH", P149&gt;=100000, "Executive")</f>
        <v>MID</v>
      </c>
      <c r="F149" t="str" cm="1">
        <f t="array" ref="F149">_xlfn.IFS(AJ149="Exceeds", "Top Performer", AJ149="Fully Meets", "Solid Performer", AJ149="Needs Improvement", "Underperformer", AJ149="PIP", "At Risk")</f>
        <v>Solid Performer</v>
      </c>
      <c r="G149" t="str" cm="1">
        <f t="array" ref="G149">_xlfn.IFS(AE149="Active", "Retained", AE149="Voluntarily Terminated", "Voluntary Exit", AE149="Terminated for Cause", "Involuntary Exit")</f>
        <v>Voluntary Exit</v>
      </c>
      <c r="H149">
        <v>10244</v>
      </c>
      <c r="I149">
        <v>0</v>
      </c>
      <c r="J149">
        <v>0</v>
      </c>
      <c r="K149">
        <v>0</v>
      </c>
      <c r="L149">
        <v>5</v>
      </c>
      <c r="M149">
        <v>6</v>
      </c>
      <c r="N149">
        <v>3</v>
      </c>
      <c r="O149">
        <v>0</v>
      </c>
      <c r="P149">
        <v>68999</v>
      </c>
      <c r="Q149">
        <v>1</v>
      </c>
      <c r="R149">
        <v>21</v>
      </c>
      <c r="S149" t="s">
        <v>188</v>
      </c>
      <c r="T149" t="s">
        <v>302</v>
      </c>
      <c r="U149">
        <v>19444</v>
      </c>
      <c r="V149" s="1">
        <v>32823</v>
      </c>
      <c r="W149" t="s">
        <v>68</v>
      </c>
      <c r="X149" t="s">
        <v>47</v>
      </c>
      <c r="Y149" t="s">
        <v>48</v>
      </c>
      <c r="Z149" t="s">
        <v>49</v>
      </c>
      <c r="AA149" t="s">
        <v>50</v>
      </c>
      <c r="AB149" s="1">
        <v>40854</v>
      </c>
      <c r="AC149" s="1">
        <v>41753</v>
      </c>
      <c r="AD149" t="s">
        <v>303</v>
      </c>
      <c r="AE149" t="s">
        <v>61</v>
      </c>
      <c r="AF149" t="s">
        <v>148</v>
      </c>
      <c r="AG149" t="s">
        <v>189</v>
      </c>
      <c r="AH149">
        <v>15</v>
      </c>
      <c r="AI149" t="s">
        <v>77</v>
      </c>
      <c r="AJ149" t="s">
        <v>65</v>
      </c>
      <c r="AK149">
        <v>4.5</v>
      </c>
      <c r="AL149">
        <v>5</v>
      </c>
      <c r="AM149">
        <v>0</v>
      </c>
      <c r="AN149" s="1">
        <v>41363</v>
      </c>
      <c r="AO149">
        <v>0</v>
      </c>
      <c r="AP149">
        <v>2</v>
      </c>
    </row>
    <row r="150" spans="1:42">
      <c r="A150" t="s">
        <v>304</v>
      </c>
      <c r="B150" t="str">
        <f t="shared" si="6"/>
        <v>Kramer</v>
      </c>
      <c r="C150" t="str">
        <f t="shared" si="7"/>
        <v>Keatts</v>
      </c>
      <c r="D150">
        <f t="shared" ca="1" si="8"/>
        <v>12</v>
      </c>
      <c r="E150" t="str" cm="1">
        <f t="array" ref="E150">_xlfn.IFS(P150&lt;40000, "Low", P150&lt;70000, "MID", P150&lt;100000, "HIGH", P150&gt;=100000, "Executive")</f>
        <v>MID</v>
      </c>
      <c r="F150" t="str" cm="1">
        <f t="array" ref="F150">_xlfn.IFS(AJ150="Exceeds", "Top Performer", AJ150="Fully Meets", "Solid Performer", AJ150="Needs Improvement", "Underperformer", AJ150="PIP", "At Risk")</f>
        <v>Solid Performer</v>
      </c>
      <c r="G150" t="str" cm="1">
        <f t="array" ref="G150">_xlfn.IFS(AE150="Active", "Retained", AE150="Voluntarily Terminated", "Voluntary Exit", AE150="Terminated for Cause", "Involuntary Exit")</f>
        <v>Retained</v>
      </c>
      <c r="H150">
        <v>10192</v>
      </c>
      <c r="I150">
        <v>0</v>
      </c>
      <c r="J150">
        <v>0</v>
      </c>
      <c r="K150">
        <v>1</v>
      </c>
      <c r="L150">
        <v>1</v>
      </c>
      <c r="M150">
        <v>5</v>
      </c>
      <c r="N150">
        <v>3</v>
      </c>
      <c r="O150">
        <v>0</v>
      </c>
      <c r="P150">
        <v>50482</v>
      </c>
      <c r="Q150">
        <v>0</v>
      </c>
      <c r="R150">
        <v>19</v>
      </c>
      <c r="S150" t="s">
        <v>44</v>
      </c>
      <c r="T150" t="s">
        <v>45</v>
      </c>
      <c r="U150">
        <v>1887</v>
      </c>
      <c r="V150" s="1">
        <v>27778</v>
      </c>
      <c r="W150" t="s">
        <v>46</v>
      </c>
      <c r="X150" t="s">
        <v>47</v>
      </c>
      <c r="Y150" t="s">
        <v>48</v>
      </c>
      <c r="Z150" t="s">
        <v>49</v>
      </c>
      <c r="AA150" t="s">
        <v>50</v>
      </c>
      <c r="AB150" s="1">
        <v>41547</v>
      </c>
      <c r="AD150" t="s">
        <v>51</v>
      </c>
      <c r="AE150" t="s">
        <v>52</v>
      </c>
      <c r="AF150" t="s">
        <v>53</v>
      </c>
      <c r="AG150" t="s">
        <v>54</v>
      </c>
      <c r="AH150">
        <v>22</v>
      </c>
      <c r="AI150" t="s">
        <v>64</v>
      </c>
      <c r="AJ150" t="s">
        <v>65</v>
      </c>
      <c r="AK150">
        <v>3.07</v>
      </c>
      <c r="AL150">
        <v>4</v>
      </c>
      <c r="AM150">
        <v>0</v>
      </c>
      <c r="AN150" s="1">
        <v>43488</v>
      </c>
      <c r="AO150">
        <v>0</v>
      </c>
      <c r="AP150">
        <v>10</v>
      </c>
    </row>
    <row r="151" spans="1:42">
      <c r="A151" t="s">
        <v>305</v>
      </c>
      <c r="B151" t="str">
        <f t="shared" si="6"/>
        <v>Bartholemew</v>
      </c>
      <c r="C151" t="str">
        <f t="shared" si="7"/>
        <v>Khemmich</v>
      </c>
      <c r="D151">
        <f t="shared" ca="1" si="8"/>
        <v>12</v>
      </c>
      <c r="E151" t="str" cm="1">
        <f t="array" ref="E151">_xlfn.IFS(P151&lt;40000, "Low", P151&lt;70000, "MID", P151&lt;100000, "HIGH", P151&gt;=100000, "Executive")</f>
        <v>MID</v>
      </c>
      <c r="F151" t="str" cm="1">
        <f t="array" ref="F151">_xlfn.IFS(AJ151="Exceeds", "Top Performer", AJ151="Fully Meets", "Solid Performer", AJ151="Needs Improvement", "Underperformer", AJ151="PIP", "At Risk")</f>
        <v>Solid Performer</v>
      </c>
      <c r="G151" t="str" cm="1">
        <f t="array" ref="G151">_xlfn.IFS(AE151="Active", "Retained", AE151="Voluntarily Terminated", "Voluntary Exit", AE151="Terminated for Cause", "Involuntary Exit")</f>
        <v>Retained</v>
      </c>
      <c r="H151">
        <v>10231</v>
      </c>
      <c r="I151">
        <v>0</v>
      </c>
      <c r="J151">
        <v>0</v>
      </c>
      <c r="K151">
        <v>1</v>
      </c>
      <c r="L151">
        <v>1</v>
      </c>
      <c r="M151">
        <v>6</v>
      </c>
      <c r="N151">
        <v>3</v>
      </c>
      <c r="O151">
        <v>0</v>
      </c>
      <c r="P151">
        <v>65310</v>
      </c>
      <c r="Q151">
        <v>0</v>
      </c>
      <c r="R151">
        <v>3</v>
      </c>
      <c r="S151" t="s">
        <v>146</v>
      </c>
      <c r="T151" t="s">
        <v>306</v>
      </c>
      <c r="U151">
        <v>80820</v>
      </c>
      <c r="V151" s="1">
        <v>29186</v>
      </c>
      <c r="W151" t="s">
        <v>46</v>
      </c>
      <c r="X151" t="s">
        <v>47</v>
      </c>
      <c r="Y151" t="s">
        <v>48</v>
      </c>
      <c r="Z151" t="s">
        <v>49</v>
      </c>
      <c r="AA151" t="s">
        <v>50</v>
      </c>
      <c r="AB151" s="1">
        <v>41505</v>
      </c>
      <c r="AD151" t="s">
        <v>51</v>
      </c>
      <c r="AE151" t="s">
        <v>52</v>
      </c>
      <c r="AF151" t="s">
        <v>148</v>
      </c>
      <c r="AG151" t="s">
        <v>167</v>
      </c>
      <c r="AH151">
        <v>21</v>
      </c>
      <c r="AI151" t="s">
        <v>64</v>
      </c>
      <c r="AJ151" t="s">
        <v>65</v>
      </c>
      <c r="AK151">
        <v>4.3</v>
      </c>
      <c r="AL151">
        <v>5</v>
      </c>
      <c r="AM151">
        <v>0</v>
      </c>
      <c r="AN151" s="1">
        <v>43487</v>
      </c>
      <c r="AO151">
        <v>0</v>
      </c>
      <c r="AP151">
        <v>13</v>
      </c>
    </row>
    <row r="152" spans="1:42">
      <c r="A152" t="s">
        <v>307</v>
      </c>
      <c r="B152" t="str">
        <f t="shared" si="6"/>
        <v>Janet</v>
      </c>
      <c r="C152" t="str">
        <f t="shared" si="7"/>
        <v>King</v>
      </c>
      <c r="D152">
        <f t="shared" ca="1" si="8"/>
        <v>13</v>
      </c>
      <c r="E152" t="str" cm="1">
        <f t="array" ref="E152">_xlfn.IFS(P152&lt;40000, "Low", P152&lt;70000, "MID", P152&lt;100000, "HIGH", P152&gt;=100000, "Executive")</f>
        <v>Executive</v>
      </c>
      <c r="F152" t="str" cm="1">
        <f t="array" ref="F152">_xlfn.IFS(AJ152="Exceeds", "Top Performer", AJ152="Fully Meets", "Solid Performer", AJ152="Needs Improvement", "Underperformer", AJ152="PIP", "At Risk")</f>
        <v>Solid Performer</v>
      </c>
      <c r="G152" t="str" cm="1">
        <f t="array" ref="G152">_xlfn.IFS(AE152="Active", "Retained", AE152="Voluntarily Terminated", "Voluntary Exit", AE152="Terminated for Cause", "Involuntary Exit")</f>
        <v>Retained</v>
      </c>
      <c r="H152">
        <v>10089</v>
      </c>
      <c r="I152">
        <v>1</v>
      </c>
      <c r="J152">
        <v>1</v>
      </c>
      <c r="K152">
        <v>0</v>
      </c>
      <c r="L152">
        <v>1</v>
      </c>
      <c r="M152">
        <v>2</v>
      </c>
      <c r="N152">
        <v>3</v>
      </c>
      <c r="O152">
        <v>0</v>
      </c>
      <c r="P152">
        <v>250000</v>
      </c>
      <c r="Q152">
        <v>0</v>
      </c>
      <c r="R152">
        <v>16</v>
      </c>
      <c r="S152" t="s">
        <v>308</v>
      </c>
      <c r="T152" t="s">
        <v>45</v>
      </c>
      <c r="U152">
        <v>1902</v>
      </c>
      <c r="V152" s="1">
        <v>19988</v>
      </c>
      <c r="W152" t="s">
        <v>68</v>
      </c>
      <c r="X152" t="s">
        <v>59</v>
      </c>
      <c r="Y152" t="s">
        <v>48</v>
      </c>
      <c r="Z152" t="s">
        <v>96</v>
      </c>
      <c r="AA152" t="s">
        <v>50</v>
      </c>
      <c r="AB152" s="1">
        <v>41092</v>
      </c>
      <c r="AD152" t="s">
        <v>51</v>
      </c>
      <c r="AE152" t="s">
        <v>52</v>
      </c>
      <c r="AF152" t="s">
        <v>309</v>
      </c>
      <c r="AG152" t="s">
        <v>242</v>
      </c>
      <c r="AH152">
        <v>9</v>
      </c>
      <c r="AI152" t="s">
        <v>64</v>
      </c>
      <c r="AJ152" t="s">
        <v>65</v>
      </c>
      <c r="AK152">
        <v>4.83</v>
      </c>
      <c r="AL152">
        <v>3</v>
      </c>
      <c r="AM152">
        <v>0</v>
      </c>
      <c r="AN152" s="1">
        <v>43482</v>
      </c>
      <c r="AO152">
        <v>0</v>
      </c>
      <c r="AP152">
        <v>10</v>
      </c>
    </row>
    <row r="153" spans="1:42">
      <c r="A153" t="s">
        <v>310</v>
      </c>
      <c r="B153" t="str">
        <f t="shared" si="6"/>
        <v>Kathleen</v>
      </c>
      <c r="C153" t="str">
        <f t="shared" si="7"/>
        <v>Kinsella</v>
      </c>
      <c r="D153">
        <f t="shared" ca="1" si="8"/>
        <v>3</v>
      </c>
      <c r="E153" t="str" cm="1">
        <f t="array" ref="E153">_xlfn.IFS(P153&lt;40000, "Low", P153&lt;70000, "MID", P153&lt;100000, "HIGH", P153&gt;=100000, "Executive")</f>
        <v>MID</v>
      </c>
      <c r="F153" t="str" cm="1">
        <f t="array" ref="F153">_xlfn.IFS(AJ153="Exceeds", "Top Performer", AJ153="Fully Meets", "Solid Performer", AJ153="Needs Improvement", "Underperformer", AJ153="PIP", "At Risk")</f>
        <v>Solid Performer</v>
      </c>
      <c r="G153" t="str" cm="1">
        <f t="array" ref="G153">_xlfn.IFS(AE153="Active", "Retained", AE153="Voluntarily Terminated", "Voluntary Exit", AE153="Terminated for Cause", "Involuntary Exit")</f>
        <v>Voluntary Exit</v>
      </c>
      <c r="H153">
        <v>10166</v>
      </c>
      <c r="I153">
        <v>1</v>
      </c>
      <c r="J153">
        <v>1</v>
      </c>
      <c r="K153">
        <v>0</v>
      </c>
      <c r="L153">
        <v>5</v>
      </c>
      <c r="M153">
        <v>5</v>
      </c>
      <c r="N153">
        <v>3</v>
      </c>
      <c r="O153">
        <v>0</v>
      </c>
      <c r="P153">
        <v>54005</v>
      </c>
      <c r="Q153">
        <v>1</v>
      </c>
      <c r="R153">
        <v>19</v>
      </c>
      <c r="S153" t="s">
        <v>44</v>
      </c>
      <c r="T153" t="s">
        <v>45</v>
      </c>
      <c r="U153">
        <v>2170</v>
      </c>
      <c r="V153" s="1">
        <v>27006</v>
      </c>
      <c r="W153" t="s">
        <v>68</v>
      </c>
      <c r="X153" t="s">
        <v>59</v>
      </c>
      <c r="Y153" t="s">
        <v>48</v>
      </c>
      <c r="Z153" t="s">
        <v>49</v>
      </c>
      <c r="AA153" t="s">
        <v>50</v>
      </c>
      <c r="AB153" s="1">
        <v>40812</v>
      </c>
      <c r="AC153" s="1">
        <v>42159</v>
      </c>
      <c r="AD153" t="s">
        <v>200</v>
      </c>
      <c r="AE153" t="s">
        <v>61</v>
      </c>
      <c r="AF153" t="s">
        <v>53</v>
      </c>
      <c r="AG153" t="s">
        <v>76</v>
      </c>
      <c r="AH153">
        <v>39</v>
      </c>
      <c r="AI153" t="s">
        <v>77</v>
      </c>
      <c r="AJ153" t="s">
        <v>65</v>
      </c>
      <c r="AK153">
        <v>3.6</v>
      </c>
      <c r="AL153">
        <v>5</v>
      </c>
      <c r="AM153">
        <v>0</v>
      </c>
      <c r="AN153" s="1">
        <v>42064</v>
      </c>
      <c r="AO153">
        <v>0</v>
      </c>
      <c r="AP153">
        <v>16</v>
      </c>
    </row>
    <row r="154" spans="1:42">
      <c r="A154" t="s">
        <v>311</v>
      </c>
      <c r="B154" t="str">
        <f t="shared" si="6"/>
        <v>Alexandra</v>
      </c>
      <c r="C154" t="str">
        <f t="shared" si="7"/>
        <v>Kirill</v>
      </c>
      <c r="D154">
        <f t="shared" ca="1" si="8"/>
        <v>2</v>
      </c>
      <c r="E154" t="str" cm="1">
        <f t="array" ref="E154">_xlfn.IFS(P154&lt;40000, "Low", P154&lt;70000, "MID", P154&lt;100000, "HIGH", P154&gt;=100000, "Executive")</f>
        <v>MID</v>
      </c>
      <c r="F154" t="str" cm="1">
        <f t="array" ref="F154">_xlfn.IFS(AJ154="Exceeds", "Top Performer", AJ154="Fully Meets", "Solid Performer", AJ154="Needs Improvement", "Underperformer", AJ154="PIP", "At Risk")</f>
        <v>Solid Performer</v>
      </c>
      <c r="G154" t="str" cm="1">
        <f t="array" ref="G154">_xlfn.IFS(AE154="Active", "Retained", AE154="Voluntarily Terminated", "Voluntary Exit", AE154="Terminated for Cause", "Involuntary Exit")</f>
        <v>Voluntary Exit</v>
      </c>
      <c r="H154">
        <v>10170</v>
      </c>
      <c r="I154">
        <v>1</v>
      </c>
      <c r="J154">
        <v>1</v>
      </c>
      <c r="K154">
        <v>0</v>
      </c>
      <c r="L154">
        <v>5</v>
      </c>
      <c r="M154">
        <v>5</v>
      </c>
      <c r="N154">
        <v>3</v>
      </c>
      <c r="O154">
        <v>0</v>
      </c>
      <c r="P154">
        <v>45433</v>
      </c>
      <c r="Q154">
        <v>1</v>
      </c>
      <c r="R154">
        <v>19</v>
      </c>
      <c r="S154" t="s">
        <v>44</v>
      </c>
      <c r="T154" t="s">
        <v>45</v>
      </c>
      <c r="U154">
        <v>2127</v>
      </c>
      <c r="V154" s="1">
        <v>25849</v>
      </c>
      <c r="W154" t="s">
        <v>68</v>
      </c>
      <c r="X154" t="s">
        <v>59</v>
      </c>
      <c r="Y154" t="s">
        <v>48</v>
      </c>
      <c r="Z154" t="s">
        <v>49</v>
      </c>
      <c r="AA154" t="s">
        <v>50</v>
      </c>
      <c r="AB154" s="1">
        <v>40812</v>
      </c>
      <c r="AC154" s="1">
        <v>41648</v>
      </c>
      <c r="AD154" t="s">
        <v>200</v>
      </c>
      <c r="AE154" t="s">
        <v>61</v>
      </c>
      <c r="AF154" t="s">
        <v>53</v>
      </c>
      <c r="AG154" t="s">
        <v>79</v>
      </c>
      <c r="AH154">
        <v>11</v>
      </c>
      <c r="AI154" t="s">
        <v>77</v>
      </c>
      <c r="AJ154" t="s">
        <v>65</v>
      </c>
      <c r="AK154">
        <v>3.49</v>
      </c>
      <c r="AL154">
        <v>4</v>
      </c>
      <c r="AM154">
        <v>0</v>
      </c>
      <c r="AN154" s="1">
        <v>41304</v>
      </c>
      <c r="AO154">
        <v>0</v>
      </c>
      <c r="AP154">
        <v>6</v>
      </c>
    </row>
    <row r="155" spans="1:42">
      <c r="A155" t="s">
        <v>312</v>
      </c>
      <c r="B155" t="str">
        <f t="shared" si="6"/>
        <v>Bradley J</v>
      </c>
      <c r="C155" t="str">
        <f t="shared" si="7"/>
        <v>Knapp</v>
      </c>
      <c r="D155">
        <f t="shared" ca="1" si="8"/>
        <v>12</v>
      </c>
      <c r="E155" t="str" cm="1">
        <f t="array" ref="E155">_xlfn.IFS(P155&lt;40000, "Low", P155&lt;70000, "MID", P155&lt;100000, "HIGH", P155&gt;=100000, "Executive")</f>
        <v>MID</v>
      </c>
      <c r="F155" t="str" cm="1">
        <f t="array" ref="F155">_xlfn.IFS(AJ155="Exceeds", "Top Performer", AJ155="Fully Meets", "Solid Performer", AJ155="Needs Improvement", "Underperformer", AJ155="PIP", "At Risk")</f>
        <v>Solid Performer</v>
      </c>
      <c r="G155" t="str" cm="1">
        <f t="array" ref="G155">_xlfn.IFS(AE155="Active", "Retained", AE155="Voluntarily Terminated", "Voluntary Exit", AE155="Terminated for Cause", "Involuntary Exit")</f>
        <v>Retained</v>
      </c>
      <c r="H155">
        <v>10208</v>
      </c>
      <c r="I155">
        <v>0</v>
      </c>
      <c r="J155">
        <v>0</v>
      </c>
      <c r="K155">
        <v>1</v>
      </c>
      <c r="L155">
        <v>1</v>
      </c>
      <c r="M155">
        <v>5</v>
      </c>
      <c r="N155">
        <v>3</v>
      </c>
      <c r="O155">
        <v>0</v>
      </c>
      <c r="P155">
        <v>46654</v>
      </c>
      <c r="Q155">
        <v>0</v>
      </c>
      <c r="R155">
        <v>19</v>
      </c>
      <c r="S155" t="s">
        <v>44</v>
      </c>
      <c r="T155" t="s">
        <v>45</v>
      </c>
      <c r="U155">
        <v>1721</v>
      </c>
      <c r="V155" s="1">
        <v>28439</v>
      </c>
      <c r="W155" t="s">
        <v>46</v>
      </c>
      <c r="X155" t="s">
        <v>47</v>
      </c>
      <c r="Y155" t="s">
        <v>48</v>
      </c>
      <c r="Z155" t="s">
        <v>49</v>
      </c>
      <c r="AA155" t="s">
        <v>89</v>
      </c>
      <c r="AB155" s="1">
        <v>41687</v>
      </c>
      <c r="AD155" t="s">
        <v>51</v>
      </c>
      <c r="AE155" t="s">
        <v>52</v>
      </c>
      <c r="AF155" t="s">
        <v>53</v>
      </c>
      <c r="AG155" t="s">
        <v>86</v>
      </c>
      <c r="AH155">
        <v>19</v>
      </c>
      <c r="AI155" t="s">
        <v>55</v>
      </c>
      <c r="AJ155" t="s">
        <v>65</v>
      </c>
      <c r="AK155">
        <v>3.1</v>
      </c>
      <c r="AL155">
        <v>3</v>
      </c>
      <c r="AM155">
        <v>0</v>
      </c>
      <c r="AN155" s="1">
        <v>43502</v>
      </c>
      <c r="AO155">
        <v>0</v>
      </c>
      <c r="AP155">
        <v>3</v>
      </c>
    </row>
    <row r="156" spans="1:42">
      <c r="A156" t="s">
        <v>313</v>
      </c>
      <c r="B156" t="str">
        <f t="shared" si="6"/>
        <v>John</v>
      </c>
      <c r="C156" t="str">
        <f t="shared" si="7"/>
        <v>Kretschmer</v>
      </c>
      <c r="D156">
        <f t="shared" ca="1" si="8"/>
        <v>15</v>
      </c>
      <c r="E156" t="str" cm="1">
        <f t="array" ref="E156">_xlfn.IFS(P156&lt;40000, "Low", P156&lt;70000, "MID", P156&lt;100000, "HIGH", P156&gt;=100000, "Executive")</f>
        <v>MID</v>
      </c>
      <c r="F156" t="str" cm="1">
        <f t="array" ref="F156">_xlfn.IFS(AJ156="Exceeds", "Top Performer", AJ156="Fully Meets", "Solid Performer", AJ156="Needs Improvement", "Underperformer", AJ156="PIP", "At Risk")</f>
        <v>Solid Performer</v>
      </c>
      <c r="G156" t="str" cm="1">
        <f t="array" ref="G156">_xlfn.IFS(AE156="Active", "Retained", AE156="Voluntarily Terminated", "Voluntary Exit", AE156="Terminated for Cause", "Involuntary Exit")</f>
        <v>Retained</v>
      </c>
      <c r="H156">
        <v>10176</v>
      </c>
      <c r="I156">
        <v>1</v>
      </c>
      <c r="J156">
        <v>1</v>
      </c>
      <c r="K156">
        <v>1</v>
      </c>
      <c r="L156">
        <v>1</v>
      </c>
      <c r="M156">
        <v>5</v>
      </c>
      <c r="N156">
        <v>3</v>
      </c>
      <c r="O156">
        <v>0</v>
      </c>
      <c r="P156">
        <v>63973</v>
      </c>
      <c r="Q156">
        <v>0</v>
      </c>
      <c r="R156">
        <v>19</v>
      </c>
      <c r="S156" t="s">
        <v>44</v>
      </c>
      <c r="T156" t="s">
        <v>45</v>
      </c>
      <c r="U156">
        <v>1801</v>
      </c>
      <c r="V156" s="1">
        <v>29253</v>
      </c>
      <c r="W156" t="s">
        <v>46</v>
      </c>
      <c r="X156" t="s">
        <v>59</v>
      </c>
      <c r="Y156" t="s">
        <v>48</v>
      </c>
      <c r="Z156" t="s">
        <v>49</v>
      </c>
      <c r="AA156" t="s">
        <v>119</v>
      </c>
      <c r="AB156" s="1">
        <v>40553</v>
      </c>
      <c r="AD156" t="s">
        <v>51</v>
      </c>
      <c r="AE156" t="s">
        <v>52</v>
      </c>
      <c r="AF156" t="s">
        <v>53</v>
      </c>
      <c r="AG156" t="s">
        <v>90</v>
      </c>
      <c r="AH156">
        <v>12</v>
      </c>
      <c r="AI156" t="s">
        <v>64</v>
      </c>
      <c r="AJ156" t="s">
        <v>65</v>
      </c>
      <c r="AK156">
        <v>3.38</v>
      </c>
      <c r="AL156">
        <v>3</v>
      </c>
      <c r="AM156">
        <v>0</v>
      </c>
      <c r="AN156" s="1">
        <v>43486</v>
      </c>
      <c r="AO156">
        <v>0</v>
      </c>
      <c r="AP156">
        <v>17</v>
      </c>
    </row>
    <row r="157" spans="1:42">
      <c r="A157" t="s">
        <v>314</v>
      </c>
      <c r="B157" t="str">
        <f t="shared" si="6"/>
        <v>Freddy</v>
      </c>
      <c r="C157" t="str">
        <f t="shared" si="7"/>
        <v>Kreuger</v>
      </c>
      <c r="D157">
        <f t="shared" ca="1" si="8"/>
        <v>15</v>
      </c>
      <c r="E157" t="str" cm="1">
        <f t="array" ref="E157">_xlfn.IFS(P157&lt;40000, "Low", P157&lt;70000, "MID", P157&lt;100000, "HIGH", P157&gt;=100000, "Executive")</f>
        <v>HIGH</v>
      </c>
      <c r="F157" t="str" cm="1">
        <f t="array" ref="F157">_xlfn.IFS(AJ157="Exceeds", "Top Performer", AJ157="Fully Meets", "Solid Performer", AJ157="Needs Improvement", "Underperformer", AJ157="PIP", "At Risk")</f>
        <v>Solid Performer</v>
      </c>
      <c r="G157" t="str" cm="1">
        <f t="array" ref="G157">_xlfn.IFS(AE157="Active", "Retained", AE157="Voluntarily Terminated", "Voluntary Exit", AE157="Terminated for Cause", "Involuntary Exit")</f>
        <v>Retained</v>
      </c>
      <c r="H157">
        <v>10165</v>
      </c>
      <c r="I157">
        <v>0</v>
      </c>
      <c r="J157">
        <v>0</v>
      </c>
      <c r="K157">
        <v>1</v>
      </c>
      <c r="L157">
        <v>1</v>
      </c>
      <c r="M157">
        <v>6</v>
      </c>
      <c r="N157">
        <v>3</v>
      </c>
      <c r="O157">
        <v>1</v>
      </c>
      <c r="P157">
        <v>71339</v>
      </c>
      <c r="Q157">
        <v>0</v>
      </c>
      <c r="R157">
        <v>3</v>
      </c>
      <c r="S157" t="s">
        <v>146</v>
      </c>
      <c r="T157" t="s">
        <v>315</v>
      </c>
      <c r="U157">
        <v>10171</v>
      </c>
      <c r="V157" s="1">
        <v>25258</v>
      </c>
      <c r="W157" t="s">
        <v>46</v>
      </c>
      <c r="X157" t="s">
        <v>47</v>
      </c>
      <c r="Y157" t="s">
        <v>48</v>
      </c>
      <c r="Z157" t="s">
        <v>96</v>
      </c>
      <c r="AA157" t="s">
        <v>89</v>
      </c>
      <c r="AB157" s="1">
        <v>40609</v>
      </c>
      <c r="AD157" t="s">
        <v>51</v>
      </c>
      <c r="AE157" t="s">
        <v>52</v>
      </c>
      <c r="AF157" t="s">
        <v>148</v>
      </c>
      <c r="AG157" t="s">
        <v>149</v>
      </c>
      <c r="AH157">
        <v>17</v>
      </c>
      <c r="AI157" t="s">
        <v>91</v>
      </c>
      <c r="AJ157" t="s">
        <v>65</v>
      </c>
      <c r="AK157">
        <v>3.65</v>
      </c>
      <c r="AL157">
        <v>5</v>
      </c>
      <c r="AM157">
        <v>0</v>
      </c>
      <c r="AN157" s="1">
        <v>43482</v>
      </c>
      <c r="AO157">
        <v>0</v>
      </c>
      <c r="AP157">
        <v>20</v>
      </c>
    </row>
    <row r="158" spans="1:42">
      <c r="A158" t="s">
        <v>316</v>
      </c>
      <c r="B158" t="str">
        <f t="shared" si="6"/>
        <v>Jyoti</v>
      </c>
      <c r="C158" t="str">
        <f t="shared" si="7"/>
        <v>Lajiri</v>
      </c>
      <c r="D158">
        <f t="shared" ca="1" si="8"/>
        <v>11</v>
      </c>
      <c r="E158" t="str" cm="1">
        <f t="array" ref="E158">_xlfn.IFS(P158&lt;40000, "Low", P158&lt;70000, "MID", P158&lt;100000, "HIGH", P158&gt;=100000, "Executive")</f>
        <v>HIGH</v>
      </c>
      <c r="F158" t="str" cm="1">
        <f t="array" ref="F158">_xlfn.IFS(AJ158="Exceeds", "Top Performer", AJ158="Fully Meets", "Solid Performer", AJ158="Needs Improvement", "Underperformer", AJ158="PIP", "At Risk")</f>
        <v>Solid Performer</v>
      </c>
      <c r="G158" t="str" cm="1">
        <f t="array" ref="G158">_xlfn.IFS(AE158="Active", "Retained", AE158="Voluntarily Terminated", "Voluntary Exit", AE158="Terminated for Cause", "Involuntary Exit")</f>
        <v>Retained</v>
      </c>
      <c r="H158">
        <v>10113</v>
      </c>
      <c r="I158">
        <v>1</v>
      </c>
      <c r="J158">
        <v>1</v>
      </c>
      <c r="K158">
        <v>1</v>
      </c>
      <c r="L158">
        <v>3</v>
      </c>
      <c r="M158">
        <v>3</v>
      </c>
      <c r="N158">
        <v>3</v>
      </c>
      <c r="O158">
        <v>0</v>
      </c>
      <c r="P158">
        <v>93206</v>
      </c>
      <c r="Q158">
        <v>0</v>
      </c>
      <c r="R158">
        <v>28</v>
      </c>
      <c r="S158" t="s">
        <v>186</v>
      </c>
      <c r="T158" t="s">
        <v>45</v>
      </c>
      <c r="U158">
        <v>2169</v>
      </c>
      <c r="V158" s="1">
        <v>31525</v>
      </c>
      <c r="W158" t="s">
        <v>46</v>
      </c>
      <c r="X158" t="s">
        <v>59</v>
      </c>
      <c r="Y158" t="s">
        <v>48</v>
      </c>
      <c r="Z158" t="s">
        <v>49</v>
      </c>
      <c r="AA158" t="s">
        <v>50</v>
      </c>
      <c r="AB158" s="1">
        <v>41953</v>
      </c>
      <c r="AD158" t="s">
        <v>51</v>
      </c>
      <c r="AE158" t="s">
        <v>52</v>
      </c>
      <c r="AF158" t="s">
        <v>62</v>
      </c>
      <c r="AG158" t="s">
        <v>94</v>
      </c>
      <c r="AH158">
        <v>7</v>
      </c>
      <c r="AI158" t="s">
        <v>87</v>
      </c>
      <c r="AJ158" t="s">
        <v>65</v>
      </c>
      <c r="AK158">
        <v>4.46</v>
      </c>
      <c r="AL158">
        <v>5</v>
      </c>
      <c r="AM158">
        <v>6</v>
      </c>
      <c r="AN158" s="1">
        <v>43472</v>
      </c>
      <c r="AO158">
        <v>0</v>
      </c>
      <c r="AP158">
        <v>7</v>
      </c>
    </row>
    <row r="159" spans="1:42">
      <c r="A159" t="s">
        <v>317</v>
      </c>
      <c r="B159" t="str">
        <f t="shared" si="6"/>
        <v>Hans</v>
      </c>
      <c r="C159" t="str">
        <f t="shared" si="7"/>
        <v>Landa</v>
      </c>
      <c r="D159">
        <f t="shared" ca="1" si="8"/>
        <v>4</v>
      </c>
      <c r="E159" t="str" cm="1">
        <f t="array" ref="E159">_xlfn.IFS(P159&lt;40000, "Low", P159&lt;70000, "MID", P159&lt;100000, "HIGH", P159&gt;=100000, "Executive")</f>
        <v>HIGH</v>
      </c>
      <c r="F159" t="str" cm="1">
        <f t="array" ref="F159">_xlfn.IFS(AJ159="Exceeds", "Top Performer", AJ159="Fully Meets", "Solid Performer", AJ159="Needs Improvement", "Underperformer", AJ159="PIP", "At Risk")</f>
        <v>Solid Performer</v>
      </c>
      <c r="G159" t="str" cm="1">
        <f t="array" ref="G159">_xlfn.IFS(AE159="Active", "Retained", AE159="Voluntarily Terminated", "Voluntary Exit", AE159="Terminated for Cause", "Involuntary Exit")</f>
        <v>Involuntary Exit</v>
      </c>
      <c r="H159">
        <v>10092</v>
      </c>
      <c r="I159">
        <v>1</v>
      </c>
      <c r="J159">
        <v>1</v>
      </c>
      <c r="K159">
        <v>1</v>
      </c>
      <c r="L159">
        <v>4</v>
      </c>
      <c r="M159">
        <v>5</v>
      </c>
      <c r="N159">
        <v>3</v>
      </c>
      <c r="O159">
        <v>0</v>
      </c>
      <c r="P159">
        <v>82758</v>
      </c>
      <c r="Q159">
        <v>1</v>
      </c>
      <c r="R159">
        <v>18</v>
      </c>
      <c r="S159" t="s">
        <v>136</v>
      </c>
      <c r="T159" t="s">
        <v>45</v>
      </c>
      <c r="U159">
        <v>1890</v>
      </c>
      <c r="V159" s="1">
        <v>26481</v>
      </c>
      <c r="W159" t="s">
        <v>46</v>
      </c>
      <c r="X159" t="s">
        <v>59</v>
      </c>
      <c r="Y159" t="s">
        <v>48</v>
      </c>
      <c r="Z159" t="s">
        <v>49</v>
      </c>
      <c r="AA159" t="s">
        <v>50</v>
      </c>
      <c r="AB159" s="1">
        <v>40553</v>
      </c>
      <c r="AC159" s="1">
        <v>42350</v>
      </c>
      <c r="AD159" t="s">
        <v>110</v>
      </c>
      <c r="AE159" t="s">
        <v>111</v>
      </c>
      <c r="AF159" t="s">
        <v>53</v>
      </c>
      <c r="AG159" t="s">
        <v>138</v>
      </c>
      <c r="AH159">
        <v>2</v>
      </c>
      <c r="AI159" t="s">
        <v>87</v>
      </c>
      <c r="AJ159" t="s">
        <v>65</v>
      </c>
      <c r="AK159">
        <v>4.78</v>
      </c>
      <c r="AL159">
        <v>4</v>
      </c>
      <c r="AM159">
        <v>0</v>
      </c>
      <c r="AN159" s="1">
        <v>42050</v>
      </c>
      <c r="AO159">
        <v>0</v>
      </c>
      <c r="AP159">
        <v>9</v>
      </c>
    </row>
    <row r="160" spans="1:42">
      <c r="A160" t="s">
        <v>318</v>
      </c>
      <c r="B160" t="str">
        <f t="shared" si="6"/>
        <v>Lindsey</v>
      </c>
      <c r="C160" t="str">
        <f t="shared" si="7"/>
        <v>Langford</v>
      </c>
      <c r="D160">
        <f t="shared" ca="1" si="8"/>
        <v>1</v>
      </c>
      <c r="E160" t="str" cm="1">
        <f t="array" ref="E160">_xlfn.IFS(P160&lt;40000, "Low", P160&lt;70000, "MID", P160&lt;100000, "HIGH", P160&gt;=100000, "Executive")</f>
        <v>MID</v>
      </c>
      <c r="F160" t="str" cm="1">
        <f t="array" ref="F160">_xlfn.IFS(AJ160="Exceeds", "Top Performer", AJ160="Fully Meets", "Solid Performer", AJ160="Needs Improvement", "Underperformer", AJ160="PIP", "At Risk")</f>
        <v>Solid Performer</v>
      </c>
      <c r="G160" t="str" cm="1">
        <f t="array" ref="G160">_xlfn.IFS(AE160="Active", "Retained", AE160="Voluntarily Terminated", "Voluntary Exit", AE160="Terminated for Cause", "Involuntary Exit")</f>
        <v>Voluntary Exit</v>
      </c>
      <c r="H160">
        <v>10106</v>
      </c>
      <c r="I160">
        <v>0</v>
      </c>
      <c r="J160">
        <v>2</v>
      </c>
      <c r="K160">
        <v>0</v>
      </c>
      <c r="L160">
        <v>5</v>
      </c>
      <c r="M160">
        <v>5</v>
      </c>
      <c r="N160">
        <v>3</v>
      </c>
      <c r="O160">
        <v>0</v>
      </c>
      <c r="P160">
        <v>66074</v>
      </c>
      <c r="Q160">
        <v>1</v>
      </c>
      <c r="R160">
        <v>20</v>
      </c>
      <c r="S160" t="s">
        <v>67</v>
      </c>
      <c r="T160" t="s">
        <v>45</v>
      </c>
      <c r="U160">
        <v>2090</v>
      </c>
      <c r="V160" s="1">
        <v>29061</v>
      </c>
      <c r="W160" t="s">
        <v>68</v>
      </c>
      <c r="X160" t="s">
        <v>74</v>
      </c>
      <c r="Y160" t="s">
        <v>48</v>
      </c>
      <c r="Z160" t="s">
        <v>49</v>
      </c>
      <c r="AA160" t="s">
        <v>119</v>
      </c>
      <c r="AB160" s="1">
        <v>41281</v>
      </c>
      <c r="AC160" s="1">
        <v>41729</v>
      </c>
      <c r="AD160" t="s">
        <v>97</v>
      </c>
      <c r="AE160" t="s">
        <v>61</v>
      </c>
      <c r="AF160" t="s">
        <v>53</v>
      </c>
      <c r="AG160" t="s">
        <v>98</v>
      </c>
      <c r="AH160">
        <v>14</v>
      </c>
      <c r="AI160" t="s">
        <v>64</v>
      </c>
      <c r="AJ160" t="s">
        <v>65</v>
      </c>
      <c r="AK160">
        <v>4.5199999999999996</v>
      </c>
      <c r="AL160">
        <v>3</v>
      </c>
      <c r="AM160">
        <v>0</v>
      </c>
      <c r="AN160" s="1">
        <v>41690</v>
      </c>
      <c r="AO160">
        <v>0</v>
      </c>
      <c r="AP160">
        <v>20</v>
      </c>
    </row>
    <row r="161" spans="1:42">
      <c r="A161" t="s">
        <v>319</v>
      </c>
      <c r="B161" t="str">
        <f t="shared" si="6"/>
        <v>Enrico</v>
      </c>
      <c r="C161" t="str">
        <f t="shared" si="7"/>
        <v>Langton</v>
      </c>
      <c r="D161">
        <f t="shared" ca="1" si="8"/>
        <v>13</v>
      </c>
      <c r="E161" t="str" cm="1">
        <f t="array" ref="E161">_xlfn.IFS(P161&lt;40000, "Low", P161&lt;70000, "MID", P161&lt;100000, "HIGH", P161&gt;=100000, "Executive")</f>
        <v>MID</v>
      </c>
      <c r="F161" t="str" cm="1">
        <f t="array" ref="F161">_xlfn.IFS(AJ161="Exceeds", "Top Performer", AJ161="Fully Meets", "Solid Performer", AJ161="Needs Improvement", "Underperformer", AJ161="PIP", "At Risk")</f>
        <v>Solid Performer</v>
      </c>
      <c r="G161" t="str" cm="1">
        <f t="array" ref="G161">_xlfn.IFS(AE161="Active", "Retained", AE161="Voluntarily Terminated", "Voluntary Exit", AE161="Terminated for Cause", "Involuntary Exit")</f>
        <v>Retained</v>
      </c>
      <c r="H161">
        <v>10052</v>
      </c>
      <c r="I161">
        <v>1</v>
      </c>
      <c r="J161">
        <v>1</v>
      </c>
      <c r="K161">
        <v>1</v>
      </c>
      <c r="L161">
        <v>1</v>
      </c>
      <c r="M161">
        <v>5</v>
      </c>
      <c r="N161">
        <v>3</v>
      </c>
      <c r="O161">
        <v>0</v>
      </c>
      <c r="P161">
        <v>46120</v>
      </c>
      <c r="Q161">
        <v>0</v>
      </c>
      <c r="R161">
        <v>19</v>
      </c>
      <c r="S161" t="s">
        <v>44</v>
      </c>
      <c r="T161" t="s">
        <v>45</v>
      </c>
      <c r="U161">
        <v>2048</v>
      </c>
      <c r="V161" s="1">
        <v>31755</v>
      </c>
      <c r="W161" t="s">
        <v>46</v>
      </c>
      <c r="X161" t="s">
        <v>59</v>
      </c>
      <c r="Y161" t="s">
        <v>48</v>
      </c>
      <c r="Z161" t="s">
        <v>49</v>
      </c>
      <c r="AA161" t="s">
        <v>50</v>
      </c>
      <c r="AB161" s="1">
        <v>41099</v>
      </c>
      <c r="AD161" t="s">
        <v>51</v>
      </c>
      <c r="AE161" t="s">
        <v>52</v>
      </c>
      <c r="AF161" t="s">
        <v>53</v>
      </c>
      <c r="AG161" t="s">
        <v>98</v>
      </c>
      <c r="AH161">
        <v>14</v>
      </c>
      <c r="AI161" t="s">
        <v>55</v>
      </c>
      <c r="AJ161" t="s">
        <v>65</v>
      </c>
      <c r="AK161">
        <v>5</v>
      </c>
      <c r="AL161">
        <v>5</v>
      </c>
      <c r="AM161">
        <v>0</v>
      </c>
      <c r="AN161" s="1">
        <v>43500</v>
      </c>
      <c r="AO161">
        <v>0</v>
      </c>
      <c r="AP161">
        <v>13</v>
      </c>
    </row>
    <row r="162" spans="1:42">
      <c r="A162" t="s">
        <v>320</v>
      </c>
      <c r="B162" t="str">
        <f t="shared" si="6"/>
        <v>William</v>
      </c>
      <c r="C162" t="str">
        <f t="shared" si="7"/>
        <v>LaRotonda</v>
      </c>
      <c r="D162">
        <f t="shared" ca="1" si="8"/>
        <v>12</v>
      </c>
      <c r="E162" t="str" cm="1">
        <f t="array" ref="E162">_xlfn.IFS(P162&lt;40000, "Low", P162&lt;70000, "MID", P162&lt;100000, "HIGH", P162&gt;=100000, "Executive")</f>
        <v>MID</v>
      </c>
      <c r="F162" t="str" cm="1">
        <f t="array" ref="F162">_xlfn.IFS(AJ162="Exceeds", "Top Performer", AJ162="Fully Meets", "Solid Performer", AJ162="Needs Improvement", "Underperformer", AJ162="PIP", "At Risk")</f>
        <v>Solid Performer</v>
      </c>
      <c r="G162" t="str" cm="1">
        <f t="array" ref="G162">_xlfn.IFS(AE162="Active", "Retained", AE162="Voluntarily Terminated", "Voluntary Exit", AE162="Terminated for Cause", "Involuntary Exit")</f>
        <v>Retained</v>
      </c>
      <c r="H162">
        <v>10038</v>
      </c>
      <c r="I162">
        <v>0</v>
      </c>
      <c r="J162">
        <v>2</v>
      </c>
      <c r="K162">
        <v>1</v>
      </c>
      <c r="L162">
        <v>1</v>
      </c>
      <c r="M162">
        <v>1</v>
      </c>
      <c r="N162">
        <v>3</v>
      </c>
      <c r="O162">
        <v>0</v>
      </c>
      <c r="P162">
        <v>64520</v>
      </c>
      <c r="Q162">
        <v>0</v>
      </c>
      <c r="R162">
        <v>1</v>
      </c>
      <c r="S162" t="s">
        <v>141</v>
      </c>
      <c r="T162" t="s">
        <v>45</v>
      </c>
      <c r="U162">
        <v>1460</v>
      </c>
      <c r="V162" s="1">
        <v>30798</v>
      </c>
      <c r="W162" t="s">
        <v>46</v>
      </c>
      <c r="X162" t="s">
        <v>74</v>
      </c>
      <c r="Y162" t="s">
        <v>48</v>
      </c>
      <c r="Z162" t="s">
        <v>49</v>
      </c>
      <c r="AA162" t="s">
        <v>89</v>
      </c>
      <c r="AB162" s="1">
        <v>41645</v>
      </c>
      <c r="AD162" t="s">
        <v>51</v>
      </c>
      <c r="AE162" t="s">
        <v>52</v>
      </c>
      <c r="AF162" t="s">
        <v>133</v>
      </c>
      <c r="AG162" t="s">
        <v>134</v>
      </c>
      <c r="AH162">
        <v>1</v>
      </c>
      <c r="AI162" t="s">
        <v>208</v>
      </c>
      <c r="AJ162" t="s">
        <v>65</v>
      </c>
      <c r="AK162">
        <v>5</v>
      </c>
      <c r="AL162">
        <v>4</v>
      </c>
      <c r="AM162">
        <v>4</v>
      </c>
      <c r="AN162" s="1">
        <v>43482</v>
      </c>
      <c r="AO162">
        <v>0</v>
      </c>
      <c r="AP162">
        <v>3</v>
      </c>
    </row>
    <row r="163" spans="1:42">
      <c r="A163" t="s">
        <v>321</v>
      </c>
      <c r="B163" t="str">
        <f t="shared" si="6"/>
        <v>Mohammed</v>
      </c>
      <c r="C163" t="str">
        <f t="shared" si="7"/>
        <v>Latif</v>
      </c>
      <c r="D163">
        <f t="shared" ca="1" si="8"/>
        <v>1</v>
      </c>
      <c r="E163" t="str" cm="1">
        <f t="array" ref="E163">_xlfn.IFS(P163&lt;40000, "Low", P163&lt;70000, "MID", P163&lt;100000, "HIGH", P163&gt;=100000, "Executive")</f>
        <v>MID</v>
      </c>
      <c r="F163" t="str" cm="1">
        <f t="array" ref="F163">_xlfn.IFS(AJ163="Exceeds", "Top Performer", AJ163="Fully Meets", "Solid Performer", AJ163="Needs Improvement", "Underperformer", AJ163="PIP", "At Risk")</f>
        <v>Solid Performer</v>
      </c>
      <c r="G163" t="str" cm="1">
        <f t="array" ref="G163">_xlfn.IFS(AE163="Active", "Retained", AE163="Voluntarily Terminated", "Voluntary Exit", AE163="Terminated for Cause", "Involuntary Exit")</f>
        <v>Voluntary Exit</v>
      </c>
      <c r="H163">
        <v>10249</v>
      </c>
      <c r="I163">
        <v>1</v>
      </c>
      <c r="J163">
        <v>1</v>
      </c>
      <c r="K163">
        <v>1</v>
      </c>
      <c r="L163">
        <v>5</v>
      </c>
      <c r="M163">
        <v>5</v>
      </c>
      <c r="N163">
        <v>3</v>
      </c>
      <c r="O163">
        <v>0</v>
      </c>
      <c r="P163">
        <v>61962</v>
      </c>
      <c r="Q163">
        <v>1</v>
      </c>
      <c r="R163">
        <v>20</v>
      </c>
      <c r="S163" t="s">
        <v>67</v>
      </c>
      <c r="T163" t="s">
        <v>45</v>
      </c>
      <c r="U163">
        <v>2126</v>
      </c>
      <c r="V163" s="1">
        <v>30811</v>
      </c>
      <c r="W163" t="s">
        <v>46</v>
      </c>
      <c r="X163" t="s">
        <v>59</v>
      </c>
      <c r="Y163" t="s">
        <v>48</v>
      </c>
      <c r="Z163" t="s">
        <v>49</v>
      </c>
      <c r="AA163" t="s">
        <v>50</v>
      </c>
      <c r="AB163" s="1">
        <v>41001</v>
      </c>
      <c r="AC163" s="1">
        <v>41379</v>
      </c>
      <c r="AD163" t="s">
        <v>200</v>
      </c>
      <c r="AE163" t="s">
        <v>61</v>
      </c>
      <c r="AF163" t="s">
        <v>53</v>
      </c>
      <c r="AG163" t="s">
        <v>70</v>
      </c>
      <c r="AH163">
        <v>20</v>
      </c>
      <c r="AI163" t="s">
        <v>77</v>
      </c>
      <c r="AJ163" t="s">
        <v>65</v>
      </c>
      <c r="AK163">
        <v>4.9000000000000004</v>
      </c>
      <c r="AL163">
        <v>3</v>
      </c>
      <c r="AM163">
        <v>0</v>
      </c>
      <c r="AN163" s="1">
        <v>41325</v>
      </c>
      <c r="AO163">
        <v>0</v>
      </c>
      <c r="AP163">
        <v>20</v>
      </c>
    </row>
    <row r="164" spans="1:42">
      <c r="A164" t="s">
        <v>322</v>
      </c>
      <c r="B164" t="str">
        <f t="shared" si="6"/>
        <v>Binh</v>
      </c>
      <c r="C164" t="str">
        <f t="shared" si="7"/>
        <v>Le</v>
      </c>
      <c r="D164">
        <f t="shared" ca="1" si="8"/>
        <v>9</v>
      </c>
      <c r="E164" t="str" cm="1">
        <f t="array" ref="E164">_xlfn.IFS(P164&lt;40000, "Low", P164&lt;70000, "MID", P164&lt;100000, "HIGH", P164&gt;=100000, "Executive")</f>
        <v>HIGH</v>
      </c>
      <c r="F164" t="str" cm="1">
        <f t="array" ref="F164">_xlfn.IFS(AJ164="Exceeds", "Top Performer", AJ164="Fully Meets", "Solid Performer", AJ164="Needs Improvement", "Underperformer", AJ164="PIP", "At Risk")</f>
        <v>Solid Performer</v>
      </c>
      <c r="G164" t="str" cm="1">
        <f t="array" ref="G164">_xlfn.IFS(AE164="Active", "Retained", AE164="Voluntarily Terminated", "Voluntary Exit", AE164="Terminated for Cause", "Involuntary Exit")</f>
        <v>Retained</v>
      </c>
      <c r="H164">
        <v>10232</v>
      </c>
      <c r="I164">
        <v>0</v>
      </c>
      <c r="J164">
        <v>0</v>
      </c>
      <c r="K164">
        <v>0</v>
      </c>
      <c r="L164">
        <v>1</v>
      </c>
      <c r="M164">
        <v>3</v>
      </c>
      <c r="N164">
        <v>3</v>
      </c>
      <c r="O164">
        <v>0</v>
      </c>
      <c r="P164">
        <v>81584</v>
      </c>
      <c r="Q164">
        <v>0</v>
      </c>
      <c r="R164">
        <v>22</v>
      </c>
      <c r="S164" t="s">
        <v>323</v>
      </c>
      <c r="T164" t="s">
        <v>45</v>
      </c>
      <c r="U164">
        <v>1886</v>
      </c>
      <c r="V164" s="1">
        <v>31942</v>
      </c>
      <c r="W164" t="s">
        <v>68</v>
      </c>
      <c r="X164" t="s">
        <v>47</v>
      </c>
      <c r="Y164" t="s">
        <v>48</v>
      </c>
      <c r="Z164" t="s">
        <v>49</v>
      </c>
      <c r="AA164" t="s">
        <v>119</v>
      </c>
      <c r="AB164" s="1">
        <v>42645</v>
      </c>
      <c r="AD164" t="s">
        <v>51</v>
      </c>
      <c r="AE164" t="s">
        <v>52</v>
      </c>
      <c r="AF164" t="s">
        <v>62</v>
      </c>
      <c r="AG164" t="s">
        <v>204</v>
      </c>
      <c r="AH164">
        <v>13</v>
      </c>
      <c r="AI164" t="s">
        <v>64</v>
      </c>
      <c r="AJ164" t="s">
        <v>65</v>
      </c>
      <c r="AK164">
        <v>4.0999999999999996</v>
      </c>
      <c r="AL164">
        <v>5</v>
      </c>
      <c r="AM164">
        <v>7</v>
      </c>
      <c r="AN164" s="1">
        <v>43473</v>
      </c>
      <c r="AO164">
        <v>0</v>
      </c>
      <c r="AP164">
        <v>2</v>
      </c>
    </row>
    <row r="165" spans="1:42">
      <c r="A165" t="s">
        <v>324</v>
      </c>
      <c r="B165" t="str">
        <f t="shared" si="6"/>
        <v>Dallas</v>
      </c>
      <c r="C165" t="str">
        <f t="shared" si="7"/>
        <v>Leach</v>
      </c>
      <c r="D165">
        <f t="shared" ca="1" si="8"/>
        <v>6</v>
      </c>
      <c r="E165" t="str" cm="1">
        <f t="array" ref="E165">_xlfn.IFS(P165&lt;40000, "Low", P165&lt;70000, "MID", P165&lt;100000, "HIGH", P165&gt;=100000, "Executive")</f>
        <v>MID</v>
      </c>
      <c r="F165" t="str" cm="1">
        <f t="array" ref="F165">_xlfn.IFS(AJ165="Exceeds", "Top Performer", AJ165="Fully Meets", "Solid Performer", AJ165="Needs Improvement", "Underperformer", AJ165="PIP", "At Risk")</f>
        <v>Solid Performer</v>
      </c>
      <c r="G165" t="str" cm="1">
        <f t="array" ref="G165">_xlfn.IFS(AE165="Active", "Retained", AE165="Voluntarily Terminated", "Voluntary Exit", AE165="Terminated for Cause", "Involuntary Exit")</f>
        <v>Voluntary Exit</v>
      </c>
      <c r="H165">
        <v>10087</v>
      </c>
      <c r="I165">
        <v>0</v>
      </c>
      <c r="J165">
        <v>0</v>
      </c>
      <c r="K165">
        <v>0</v>
      </c>
      <c r="L165">
        <v>5</v>
      </c>
      <c r="M165">
        <v>5</v>
      </c>
      <c r="N165">
        <v>3</v>
      </c>
      <c r="O165">
        <v>0</v>
      </c>
      <c r="P165">
        <v>63676</v>
      </c>
      <c r="Q165">
        <v>1</v>
      </c>
      <c r="R165">
        <v>19</v>
      </c>
      <c r="S165" t="s">
        <v>44</v>
      </c>
      <c r="T165" t="s">
        <v>45</v>
      </c>
      <c r="U165">
        <v>1810</v>
      </c>
      <c r="V165" s="1">
        <v>28872</v>
      </c>
      <c r="W165" t="s">
        <v>68</v>
      </c>
      <c r="X165" t="s">
        <v>47</v>
      </c>
      <c r="Y165" t="s">
        <v>48</v>
      </c>
      <c r="Z165" t="s">
        <v>49</v>
      </c>
      <c r="AA165" t="s">
        <v>119</v>
      </c>
      <c r="AB165" s="1">
        <v>40812</v>
      </c>
      <c r="AC165" s="1">
        <v>43331</v>
      </c>
      <c r="AD165" t="s">
        <v>75</v>
      </c>
      <c r="AE165" t="s">
        <v>61</v>
      </c>
      <c r="AF165" t="s">
        <v>53</v>
      </c>
      <c r="AG165" t="s">
        <v>70</v>
      </c>
      <c r="AH165">
        <v>20</v>
      </c>
      <c r="AI165" t="s">
        <v>124</v>
      </c>
      <c r="AJ165" t="s">
        <v>65</v>
      </c>
      <c r="AK165">
        <v>4.88</v>
      </c>
      <c r="AL165">
        <v>3</v>
      </c>
      <c r="AM165">
        <v>0</v>
      </c>
      <c r="AN165" s="1">
        <v>42918</v>
      </c>
      <c r="AO165">
        <v>0</v>
      </c>
      <c r="AP165">
        <v>17</v>
      </c>
    </row>
    <row r="166" spans="1:42">
      <c r="A166" t="s">
        <v>325</v>
      </c>
      <c r="B166" t="str">
        <f t="shared" si="6"/>
        <v>Brandon R</v>
      </c>
      <c r="C166" t="str">
        <f t="shared" si="7"/>
        <v>LeBlanc</v>
      </c>
      <c r="D166">
        <f t="shared" ca="1" si="8"/>
        <v>10</v>
      </c>
      <c r="E166" t="str" cm="1">
        <f t="array" ref="E166">_xlfn.IFS(P166&lt;40000, "Low", P166&lt;70000, "MID", P166&lt;100000, "HIGH", P166&gt;=100000, "Executive")</f>
        <v>HIGH</v>
      </c>
      <c r="F166" t="str" cm="1">
        <f t="array" ref="F166">_xlfn.IFS(AJ166="Exceeds", "Top Performer", AJ166="Fully Meets", "Solid Performer", AJ166="Needs Improvement", "Underperformer", AJ166="PIP", "At Risk")</f>
        <v>Solid Performer</v>
      </c>
      <c r="G166" t="str" cm="1">
        <f t="array" ref="G166">_xlfn.IFS(AE166="Active", "Retained", AE166="Voluntarily Terminated", "Voluntary Exit", AE166="Terminated for Cause", "Involuntary Exit")</f>
        <v>Retained</v>
      </c>
      <c r="H166">
        <v>10134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3</v>
      </c>
      <c r="O166">
        <v>0</v>
      </c>
      <c r="P166">
        <v>93046</v>
      </c>
      <c r="Q166">
        <v>0</v>
      </c>
      <c r="R166">
        <v>23</v>
      </c>
      <c r="S166" t="s">
        <v>326</v>
      </c>
      <c r="T166" t="s">
        <v>45</v>
      </c>
      <c r="U166">
        <v>1460</v>
      </c>
      <c r="V166" s="1">
        <v>30843</v>
      </c>
      <c r="W166" t="s">
        <v>46</v>
      </c>
      <c r="X166" t="s">
        <v>59</v>
      </c>
      <c r="Y166" t="s">
        <v>48</v>
      </c>
      <c r="Z166" t="s">
        <v>49</v>
      </c>
      <c r="AA166" t="s">
        <v>50</v>
      </c>
      <c r="AB166" s="1">
        <v>42374</v>
      </c>
      <c r="AD166" t="s">
        <v>51</v>
      </c>
      <c r="AE166" t="s">
        <v>52</v>
      </c>
      <c r="AF166" t="s">
        <v>133</v>
      </c>
      <c r="AG166" t="s">
        <v>138</v>
      </c>
      <c r="AH166">
        <v>2</v>
      </c>
      <c r="AI166" t="s">
        <v>124</v>
      </c>
      <c r="AJ166" t="s">
        <v>65</v>
      </c>
      <c r="AK166">
        <v>4.0999999999999996</v>
      </c>
      <c r="AL166">
        <v>4</v>
      </c>
      <c r="AM166">
        <v>0</v>
      </c>
      <c r="AN166" s="1">
        <v>43493</v>
      </c>
      <c r="AO166">
        <v>0</v>
      </c>
      <c r="AP166">
        <v>20</v>
      </c>
    </row>
    <row r="167" spans="1:42">
      <c r="A167" t="s">
        <v>327</v>
      </c>
      <c r="B167" t="str">
        <f t="shared" si="6"/>
        <v>Hannibal</v>
      </c>
      <c r="C167" t="str">
        <f t="shared" si="7"/>
        <v>Lecter</v>
      </c>
      <c r="D167">
        <f t="shared" ca="1" si="8"/>
        <v>13</v>
      </c>
      <c r="E167" t="str" cm="1">
        <f t="array" ref="E167">_xlfn.IFS(P167&lt;40000, "Low", P167&lt;70000, "MID", P167&lt;100000, "HIGH", P167&gt;=100000, "Executive")</f>
        <v>MID</v>
      </c>
      <c r="F167" t="str" cm="1">
        <f t="array" ref="F167">_xlfn.IFS(AJ167="Exceeds", "Top Performer", AJ167="Fully Meets", "Solid Performer", AJ167="Needs Improvement", "Underperformer", AJ167="PIP", "At Risk")</f>
        <v>Solid Performer</v>
      </c>
      <c r="G167" t="str" cm="1">
        <f t="array" ref="G167">_xlfn.IFS(AE167="Active", "Retained", AE167="Voluntarily Terminated", "Voluntary Exit", AE167="Terminated for Cause", "Involuntary Exit")</f>
        <v>Retained</v>
      </c>
      <c r="H167">
        <v>10251</v>
      </c>
      <c r="I167">
        <v>1</v>
      </c>
      <c r="J167">
        <v>1</v>
      </c>
      <c r="K167">
        <v>1</v>
      </c>
      <c r="L167">
        <v>1</v>
      </c>
      <c r="M167">
        <v>5</v>
      </c>
      <c r="N167">
        <v>3</v>
      </c>
      <c r="O167">
        <v>0</v>
      </c>
      <c r="P167">
        <v>64738</v>
      </c>
      <c r="Q167">
        <v>0</v>
      </c>
      <c r="R167">
        <v>19</v>
      </c>
      <c r="S167" t="s">
        <v>44</v>
      </c>
      <c r="T167" t="s">
        <v>45</v>
      </c>
      <c r="U167">
        <v>1776</v>
      </c>
      <c r="V167" s="1">
        <v>30196</v>
      </c>
      <c r="W167" t="s">
        <v>46</v>
      </c>
      <c r="X167" t="s">
        <v>59</v>
      </c>
      <c r="Y167" t="s">
        <v>48</v>
      </c>
      <c r="Z167" t="s">
        <v>49</v>
      </c>
      <c r="AA167" t="s">
        <v>119</v>
      </c>
      <c r="AB167" s="1">
        <v>41043</v>
      </c>
      <c r="AD167" t="s">
        <v>51</v>
      </c>
      <c r="AE167" t="s">
        <v>52</v>
      </c>
      <c r="AF167" t="s">
        <v>53</v>
      </c>
      <c r="AG167" t="s">
        <v>72</v>
      </c>
      <c r="AH167">
        <v>16</v>
      </c>
      <c r="AI167" t="s">
        <v>77</v>
      </c>
      <c r="AJ167" t="s">
        <v>65</v>
      </c>
      <c r="AK167">
        <v>4.0999999999999996</v>
      </c>
      <c r="AL167">
        <v>3</v>
      </c>
      <c r="AM167">
        <v>0</v>
      </c>
      <c r="AN167" s="1">
        <v>43518</v>
      </c>
      <c r="AO167">
        <v>0</v>
      </c>
      <c r="AP167">
        <v>10</v>
      </c>
    </row>
    <row r="168" spans="1:42">
      <c r="A168" t="s">
        <v>328</v>
      </c>
      <c r="B168" t="str">
        <f t="shared" si="6"/>
        <v>Giovanni</v>
      </c>
      <c r="C168" t="str">
        <f t="shared" si="7"/>
        <v>Leruth</v>
      </c>
      <c r="D168">
        <f t="shared" ca="1" si="8"/>
        <v>13</v>
      </c>
      <c r="E168" t="str" cm="1">
        <f t="array" ref="E168">_xlfn.IFS(P168&lt;40000, "Low", P168&lt;70000, "MID", P168&lt;100000, "HIGH", P168&gt;=100000, "Executive")</f>
        <v>HIGH</v>
      </c>
      <c r="F168" t="str" cm="1">
        <f t="array" ref="F168">_xlfn.IFS(AJ168="Exceeds", "Top Performer", AJ168="Fully Meets", "Solid Performer", AJ168="Needs Improvement", "Underperformer", AJ168="PIP", "At Risk")</f>
        <v>Solid Performer</v>
      </c>
      <c r="G168" t="str" cm="1">
        <f t="array" ref="G168">_xlfn.IFS(AE168="Active", "Retained", AE168="Voluntarily Terminated", "Voluntary Exit", AE168="Terminated for Cause", "Involuntary Exit")</f>
        <v>Retained</v>
      </c>
      <c r="H168">
        <v>10103</v>
      </c>
      <c r="I168">
        <v>0</v>
      </c>
      <c r="J168">
        <v>3</v>
      </c>
      <c r="K168">
        <v>1</v>
      </c>
      <c r="L168">
        <v>1</v>
      </c>
      <c r="M168">
        <v>6</v>
      </c>
      <c r="N168">
        <v>3</v>
      </c>
      <c r="O168">
        <v>0</v>
      </c>
      <c r="P168">
        <v>70468</v>
      </c>
      <c r="Q168">
        <v>0</v>
      </c>
      <c r="R168">
        <v>3</v>
      </c>
      <c r="S168" t="s">
        <v>146</v>
      </c>
      <c r="T168" t="s">
        <v>329</v>
      </c>
      <c r="U168">
        <v>84111</v>
      </c>
      <c r="V168" s="1">
        <v>32504</v>
      </c>
      <c r="W168" t="s">
        <v>46</v>
      </c>
      <c r="X168" t="s">
        <v>144</v>
      </c>
      <c r="Y168" t="s">
        <v>48</v>
      </c>
      <c r="Z168" t="s">
        <v>49</v>
      </c>
      <c r="AA168" t="s">
        <v>89</v>
      </c>
      <c r="AB168" s="1">
        <v>41029</v>
      </c>
      <c r="AD168" t="s">
        <v>51</v>
      </c>
      <c r="AE168" t="s">
        <v>52</v>
      </c>
      <c r="AF168" t="s">
        <v>148</v>
      </c>
      <c r="AG168" t="s">
        <v>149</v>
      </c>
      <c r="AH168">
        <v>17</v>
      </c>
      <c r="AI168" t="s">
        <v>208</v>
      </c>
      <c r="AJ168" t="s">
        <v>65</v>
      </c>
      <c r="AK168">
        <v>4.53</v>
      </c>
      <c r="AL168">
        <v>3</v>
      </c>
      <c r="AM168">
        <v>0</v>
      </c>
      <c r="AN168" s="1">
        <v>43494</v>
      </c>
      <c r="AO168">
        <v>0</v>
      </c>
      <c r="AP168">
        <v>16</v>
      </c>
    </row>
    <row r="169" spans="1:42">
      <c r="A169" t="s">
        <v>330</v>
      </c>
      <c r="B169" t="str">
        <f t="shared" si="6"/>
        <v>Ketsia</v>
      </c>
      <c r="C169" t="str">
        <f t="shared" si="7"/>
        <v>Liebig</v>
      </c>
      <c r="D169">
        <f t="shared" ca="1" si="8"/>
        <v>12</v>
      </c>
      <c r="E169" t="str" cm="1">
        <f t="array" ref="E169">_xlfn.IFS(P169&lt;40000, "Low", P169&lt;70000, "MID", P169&lt;100000, "HIGH", P169&gt;=100000, "Executive")</f>
        <v>HIGH</v>
      </c>
      <c r="F169" t="str" cm="1">
        <f t="array" ref="F169">_xlfn.IFS(AJ169="Exceeds", "Top Performer", AJ169="Fully Meets", "Solid Performer", AJ169="Needs Improvement", "Underperformer", AJ169="PIP", "At Risk")</f>
        <v>Top Performer</v>
      </c>
      <c r="G169" t="str" cm="1">
        <f t="array" ref="G169">_xlfn.IFS(AE169="Active", "Retained", AE169="Voluntarily Terminated", "Voluntary Exit", AE169="Terminated for Cause", "Involuntary Exit")</f>
        <v>Retained</v>
      </c>
      <c r="H169">
        <v>10017</v>
      </c>
      <c r="I169">
        <v>1</v>
      </c>
      <c r="J169">
        <v>1</v>
      </c>
      <c r="K169">
        <v>0</v>
      </c>
      <c r="L169">
        <v>1</v>
      </c>
      <c r="M169">
        <v>5</v>
      </c>
      <c r="N169">
        <v>4</v>
      </c>
      <c r="O169">
        <v>0</v>
      </c>
      <c r="P169">
        <v>77915</v>
      </c>
      <c r="Q169">
        <v>0</v>
      </c>
      <c r="R169">
        <v>18</v>
      </c>
      <c r="S169" t="s">
        <v>136</v>
      </c>
      <c r="T169" t="s">
        <v>45</v>
      </c>
      <c r="U169">
        <v>2110</v>
      </c>
      <c r="V169" s="1">
        <v>29885</v>
      </c>
      <c r="W169" t="s">
        <v>68</v>
      </c>
      <c r="X169" t="s">
        <v>59</v>
      </c>
      <c r="Y169" t="s">
        <v>48</v>
      </c>
      <c r="Z169" t="s">
        <v>49</v>
      </c>
      <c r="AA169" t="s">
        <v>50</v>
      </c>
      <c r="AB169" s="1">
        <v>41547</v>
      </c>
      <c r="AD169" t="s">
        <v>51</v>
      </c>
      <c r="AE169" t="s">
        <v>52</v>
      </c>
      <c r="AF169" t="s">
        <v>53</v>
      </c>
      <c r="AG169" t="s">
        <v>138</v>
      </c>
      <c r="AH169">
        <v>2</v>
      </c>
      <c r="AI169" t="s">
        <v>208</v>
      </c>
      <c r="AJ169" t="s">
        <v>56</v>
      </c>
      <c r="AK169">
        <v>4.0999999999999996</v>
      </c>
      <c r="AL169">
        <v>3</v>
      </c>
      <c r="AM169">
        <v>0</v>
      </c>
      <c r="AN169" s="1">
        <v>43486</v>
      </c>
      <c r="AO169">
        <v>0</v>
      </c>
      <c r="AP169">
        <v>11</v>
      </c>
    </row>
    <row r="170" spans="1:42">
      <c r="A170" t="s">
        <v>331</v>
      </c>
      <c r="B170" t="str">
        <f t="shared" si="6"/>
        <v>Marilyn</v>
      </c>
      <c r="C170" t="str">
        <f t="shared" si="7"/>
        <v>Linares</v>
      </c>
      <c r="D170">
        <f t="shared" ca="1" si="8"/>
        <v>7</v>
      </c>
      <c r="E170" t="str" cm="1">
        <f t="array" ref="E170">_xlfn.IFS(P170&lt;40000, "Low", P170&lt;70000, "MID", P170&lt;100000, "HIGH", P170&gt;=100000, "Executive")</f>
        <v>MID</v>
      </c>
      <c r="F170" t="str" cm="1">
        <f t="array" ref="F170">_xlfn.IFS(AJ170="Exceeds", "Top Performer", AJ170="Fully Meets", "Solid Performer", AJ170="Needs Improvement", "Underperformer", AJ170="PIP", "At Risk")</f>
        <v>Solid Performer</v>
      </c>
      <c r="G170" t="str" cm="1">
        <f t="array" ref="G170">_xlfn.IFS(AE170="Active", "Retained", AE170="Voluntarily Terminated", "Voluntary Exit", AE170="Terminated for Cause", "Involuntary Exit")</f>
        <v>Voluntary Exit</v>
      </c>
      <c r="H170">
        <v>10186</v>
      </c>
      <c r="I170">
        <v>1</v>
      </c>
      <c r="J170">
        <v>1</v>
      </c>
      <c r="K170">
        <v>0</v>
      </c>
      <c r="L170">
        <v>5</v>
      </c>
      <c r="M170">
        <v>5</v>
      </c>
      <c r="N170">
        <v>3</v>
      </c>
      <c r="O170">
        <v>0</v>
      </c>
      <c r="P170">
        <v>52624</v>
      </c>
      <c r="Q170">
        <v>1</v>
      </c>
      <c r="R170">
        <v>19</v>
      </c>
      <c r="S170" t="s">
        <v>44</v>
      </c>
      <c r="T170" t="s">
        <v>45</v>
      </c>
      <c r="U170">
        <v>1886</v>
      </c>
      <c r="V170" s="1">
        <v>29671</v>
      </c>
      <c r="W170" t="s">
        <v>68</v>
      </c>
      <c r="X170" t="s">
        <v>59</v>
      </c>
      <c r="Y170" t="s">
        <v>48</v>
      </c>
      <c r="Z170" t="s">
        <v>49</v>
      </c>
      <c r="AA170" t="s">
        <v>50</v>
      </c>
      <c r="AB170" s="1">
        <v>40729</v>
      </c>
      <c r="AC170" s="1">
        <v>43369</v>
      </c>
      <c r="AD170" t="s">
        <v>100</v>
      </c>
      <c r="AE170" t="s">
        <v>61</v>
      </c>
      <c r="AF170" t="s">
        <v>53</v>
      </c>
      <c r="AG170" t="s">
        <v>54</v>
      </c>
      <c r="AH170">
        <v>22</v>
      </c>
      <c r="AI170" t="s">
        <v>64</v>
      </c>
      <c r="AJ170" t="s">
        <v>65</v>
      </c>
      <c r="AK170">
        <v>3.18</v>
      </c>
      <c r="AL170">
        <v>4</v>
      </c>
      <c r="AM170">
        <v>0</v>
      </c>
      <c r="AN170" s="1">
        <v>43161</v>
      </c>
      <c r="AO170">
        <v>0</v>
      </c>
      <c r="AP170">
        <v>16</v>
      </c>
    </row>
    <row r="171" spans="1:42">
      <c r="A171" t="s">
        <v>332</v>
      </c>
      <c r="B171" t="str">
        <f t="shared" si="6"/>
        <v>Mathew</v>
      </c>
      <c r="C171" t="str">
        <f t="shared" si="7"/>
        <v>Linden</v>
      </c>
      <c r="D171">
        <f t="shared" ca="1" si="8"/>
        <v>12</v>
      </c>
      <c r="E171" t="str" cm="1">
        <f t="array" ref="E171">_xlfn.IFS(P171&lt;40000, "Low", P171&lt;70000, "MID", P171&lt;100000, "HIGH", P171&gt;=100000, "Executive")</f>
        <v>MID</v>
      </c>
      <c r="F171" t="str" cm="1">
        <f t="array" ref="F171">_xlfn.IFS(AJ171="Exceeds", "Top Performer", AJ171="Fully Meets", "Solid Performer", AJ171="Needs Improvement", "Underperformer", AJ171="PIP", "At Risk")</f>
        <v>Solid Performer</v>
      </c>
      <c r="G171" t="str" cm="1">
        <f t="array" ref="G171">_xlfn.IFS(AE171="Active", "Retained", AE171="Voluntarily Terminated", "Voluntary Exit", AE171="Terminated for Cause", "Involuntary Exit")</f>
        <v>Retained</v>
      </c>
      <c r="H171">
        <v>10137</v>
      </c>
      <c r="I171">
        <v>1</v>
      </c>
      <c r="J171">
        <v>1</v>
      </c>
      <c r="K171">
        <v>1</v>
      </c>
      <c r="L171">
        <v>3</v>
      </c>
      <c r="M171">
        <v>5</v>
      </c>
      <c r="N171">
        <v>3</v>
      </c>
      <c r="O171">
        <v>0</v>
      </c>
      <c r="P171">
        <v>63450</v>
      </c>
      <c r="Q171">
        <v>0</v>
      </c>
      <c r="R171">
        <v>20</v>
      </c>
      <c r="S171" t="s">
        <v>67</v>
      </c>
      <c r="T171" t="s">
        <v>45</v>
      </c>
      <c r="U171">
        <v>1770</v>
      </c>
      <c r="V171" s="1">
        <v>28933</v>
      </c>
      <c r="W171" t="s">
        <v>46</v>
      </c>
      <c r="X171" t="s">
        <v>59</v>
      </c>
      <c r="Y171" t="s">
        <v>48</v>
      </c>
      <c r="Z171" t="s">
        <v>49</v>
      </c>
      <c r="AA171" t="s">
        <v>50</v>
      </c>
      <c r="AB171" s="1">
        <v>41463</v>
      </c>
      <c r="AD171" t="s">
        <v>51</v>
      </c>
      <c r="AE171" t="s">
        <v>52</v>
      </c>
      <c r="AF171" t="s">
        <v>53</v>
      </c>
      <c r="AG171" t="s">
        <v>106</v>
      </c>
      <c r="AH171">
        <v>18</v>
      </c>
      <c r="AI171" t="s">
        <v>55</v>
      </c>
      <c r="AJ171" t="s">
        <v>65</v>
      </c>
      <c r="AK171">
        <v>4</v>
      </c>
      <c r="AL171">
        <v>3</v>
      </c>
      <c r="AM171">
        <v>0</v>
      </c>
      <c r="AN171" s="1">
        <v>43514</v>
      </c>
      <c r="AO171">
        <v>0</v>
      </c>
      <c r="AP171">
        <v>7</v>
      </c>
    </row>
    <row r="172" spans="1:42">
      <c r="A172" t="s">
        <v>333</v>
      </c>
      <c r="B172" t="str">
        <f t="shared" si="6"/>
        <v>Leonara</v>
      </c>
      <c r="C172" t="str">
        <f t="shared" si="7"/>
        <v>Lindsay</v>
      </c>
      <c r="D172">
        <f t="shared" ca="1" si="8"/>
        <v>15</v>
      </c>
      <c r="E172" t="str" cm="1">
        <f t="array" ref="E172">_xlfn.IFS(P172&lt;40000, "Low", P172&lt;70000, "MID", P172&lt;100000, "HIGH", P172&gt;=100000, "Executive")</f>
        <v>MID</v>
      </c>
      <c r="F172" t="str" cm="1">
        <f t="array" ref="F172">_xlfn.IFS(AJ172="Exceeds", "Top Performer", AJ172="Fully Meets", "Solid Performer", AJ172="Needs Improvement", "Underperformer", AJ172="PIP", "At Risk")</f>
        <v>Top Performer</v>
      </c>
      <c r="G172" t="str" cm="1">
        <f t="array" ref="G172">_xlfn.IFS(AE172="Active", "Retained", AE172="Voluntarily Terminated", "Voluntary Exit", AE172="Terminated for Cause", "Involuntary Exit")</f>
        <v>Retained</v>
      </c>
      <c r="H172">
        <v>10008</v>
      </c>
      <c r="I172">
        <v>0</v>
      </c>
      <c r="J172">
        <v>0</v>
      </c>
      <c r="K172">
        <v>0</v>
      </c>
      <c r="L172">
        <v>1</v>
      </c>
      <c r="M172">
        <v>3</v>
      </c>
      <c r="N172">
        <v>4</v>
      </c>
      <c r="O172">
        <v>1</v>
      </c>
      <c r="P172">
        <v>51777</v>
      </c>
      <c r="Q172">
        <v>0</v>
      </c>
      <c r="R172">
        <v>14</v>
      </c>
      <c r="S172" t="s">
        <v>93</v>
      </c>
      <c r="T172" t="s">
        <v>129</v>
      </c>
      <c r="U172">
        <v>6070</v>
      </c>
      <c r="V172" s="1">
        <v>32421</v>
      </c>
      <c r="W172" t="s">
        <v>68</v>
      </c>
      <c r="X172" t="s">
        <v>47</v>
      </c>
      <c r="Y172" t="s">
        <v>48</v>
      </c>
      <c r="Z172" t="s">
        <v>96</v>
      </c>
      <c r="AA172" t="s">
        <v>89</v>
      </c>
      <c r="AB172" s="1">
        <v>40564</v>
      </c>
      <c r="AD172" t="s">
        <v>51</v>
      </c>
      <c r="AE172" t="s">
        <v>52</v>
      </c>
      <c r="AF172" t="s">
        <v>62</v>
      </c>
      <c r="AG172" t="s">
        <v>173</v>
      </c>
      <c r="AH172">
        <v>6</v>
      </c>
      <c r="AI172" t="s">
        <v>91</v>
      </c>
      <c r="AJ172" t="s">
        <v>56</v>
      </c>
      <c r="AK172">
        <v>4.6399999999999997</v>
      </c>
      <c r="AL172">
        <v>4</v>
      </c>
      <c r="AM172">
        <v>5</v>
      </c>
      <c r="AN172" s="1">
        <v>43490</v>
      </c>
      <c r="AO172">
        <v>0</v>
      </c>
      <c r="AP172">
        <v>14</v>
      </c>
    </row>
    <row r="173" spans="1:42">
      <c r="A173" t="s">
        <v>334</v>
      </c>
      <c r="B173" t="str">
        <f t="shared" si="6"/>
        <v>Susan</v>
      </c>
      <c r="C173" t="str">
        <f t="shared" si="7"/>
        <v>Lundy</v>
      </c>
      <c r="D173">
        <f t="shared" ca="1" si="8"/>
        <v>3</v>
      </c>
      <c r="E173" t="str" cm="1">
        <f t="array" ref="E173">_xlfn.IFS(P173&lt;40000, "Low", P173&lt;70000, "MID", P173&lt;100000, "HIGH", P173&gt;=100000, "Executive")</f>
        <v>MID</v>
      </c>
      <c r="F173" t="str" cm="1">
        <f t="array" ref="F173">_xlfn.IFS(AJ173="Exceeds", "Top Performer", AJ173="Fully Meets", "Solid Performer", AJ173="Needs Improvement", "Underperformer", AJ173="PIP", "At Risk")</f>
        <v>Solid Performer</v>
      </c>
      <c r="G173" t="str" cm="1">
        <f t="array" ref="G173">_xlfn.IFS(AE173="Active", "Retained", AE173="Voluntarily Terminated", "Voluntary Exit", AE173="Terminated for Cause", "Involuntary Exit")</f>
        <v>Voluntary Exit</v>
      </c>
      <c r="H173">
        <v>10096</v>
      </c>
      <c r="I173">
        <v>0</v>
      </c>
      <c r="J173">
        <v>4</v>
      </c>
      <c r="K173">
        <v>0</v>
      </c>
      <c r="L173">
        <v>5</v>
      </c>
      <c r="M173">
        <v>5</v>
      </c>
      <c r="N173">
        <v>3</v>
      </c>
      <c r="O173">
        <v>0</v>
      </c>
      <c r="P173">
        <v>67237</v>
      </c>
      <c r="Q173">
        <v>1</v>
      </c>
      <c r="R173">
        <v>20</v>
      </c>
      <c r="S173" t="s">
        <v>67</v>
      </c>
      <c r="T173" t="s">
        <v>45</v>
      </c>
      <c r="U173">
        <v>2122</v>
      </c>
      <c r="V173" s="1">
        <v>28120</v>
      </c>
      <c r="W173" t="s">
        <v>68</v>
      </c>
      <c r="X173" t="s">
        <v>85</v>
      </c>
      <c r="Y173" t="s">
        <v>48</v>
      </c>
      <c r="Z173" t="s">
        <v>49</v>
      </c>
      <c r="AA173" t="s">
        <v>50</v>
      </c>
      <c r="AB173" s="1">
        <v>41463</v>
      </c>
      <c r="AC173" s="1">
        <v>42628</v>
      </c>
      <c r="AD173" t="s">
        <v>200</v>
      </c>
      <c r="AE173" t="s">
        <v>61</v>
      </c>
      <c r="AF173" t="s">
        <v>53</v>
      </c>
      <c r="AG173" t="s">
        <v>54</v>
      </c>
      <c r="AH173">
        <v>22</v>
      </c>
      <c r="AI173" t="s">
        <v>55</v>
      </c>
      <c r="AJ173" t="s">
        <v>65</v>
      </c>
      <c r="AK173">
        <v>4.6500000000000004</v>
      </c>
      <c r="AL173">
        <v>4</v>
      </c>
      <c r="AM173">
        <v>0</v>
      </c>
      <c r="AN173" s="1">
        <v>42531</v>
      </c>
      <c r="AO173">
        <v>0</v>
      </c>
      <c r="AP173">
        <v>15</v>
      </c>
    </row>
    <row r="174" spans="1:42">
      <c r="A174" t="s">
        <v>335</v>
      </c>
      <c r="B174" t="str">
        <f t="shared" si="6"/>
        <v>Lisa</v>
      </c>
      <c r="C174" t="str">
        <f t="shared" si="7"/>
        <v>Lunquist</v>
      </c>
      <c r="D174">
        <f t="shared" ca="1" si="8"/>
        <v>12</v>
      </c>
      <c r="E174" t="str" cm="1">
        <f t="array" ref="E174">_xlfn.IFS(P174&lt;40000, "Low", P174&lt;70000, "MID", P174&lt;100000, "HIGH", P174&gt;=100000, "Executive")</f>
        <v>HIGH</v>
      </c>
      <c r="F174" t="str" cm="1">
        <f t="array" ref="F174">_xlfn.IFS(AJ174="Exceeds", "Top Performer", AJ174="Fully Meets", "Solid Performer", AJ174="Needs Improvement", "Underperformer", AJ174="PIP", "At Risk")</f>
        <v>Top Performer</v>
      </c>
      <c r="G174" t="str" cm="1">
        <f t="array" ref="G174">_xlfn.IFS(AE174="Active", "Retained", AE174="Voluntarily Terminated", "Voluntary Exit", AE174="Terminated for Cause", "Involuntary Exit")</f>
        <v>Retained</v>
      </c>
      <c r="H174">
        <v>10035</v>
      </c>
      <c r="I174">
        <v>0</v>
      </c>
      <c r="J174">
        <v>0</v>
      </c>
      <c r="K174">
        <v>0</v>
      </c>
      <c r="L174">
        <v>1</v>
      </c>
      <c r="M174">
        <v>5</v>
      </c>
      <c r="N174">
        <v>4</v>
      </c>
      <c r="O174">
        <v>0</v>
      </c>
      <c r="P174">
        <v>73330</v>
      </c>
      <c r="Q174">
        <v>0</v>
      </c>
      <c r="R174">
        <v>20</v>
      </c>
      <c r="S174" t="s">
        <v>67</v>
      </c>
      <c r="T174" t="s">
        <v>45</v>
      </c>
      <c r="U174">
        <v>2324</v>
      </c>
      <c r="V174" s="1">
        <v>30038</v>
      </c>
      <c r="W174" t="s">
        <v>68</v>
      </c>
      <c r="X174" t="s">
        <v>47</v>
      </c>
      <c r="Y174" t="s">
        <v>48</v>
      </c>
      <c r="Z174" t="s">
        <v>49</v>
      </c>
      <c r="AA174" t="s">
        <v>89</v>
      </c>
      <c r="AB174" s="1">
        <v>41505</v>
      </c>
      <c r="AD174" t="s">
        <v>51</v>
      </c>
      <c r="AE174" t="s">
        <v>52</v>
      </c>
      <c r="AF174" t="s">
        <v>53</v>
      </c>
      <c r="AG174" t="s">
        <v>72</v>
      </c>
      <c r="AH174">
        <v>16</v>
      </c>
      <c r="AI174" t="s">
        <v>64</v>
      </c>
      <c r="AJ174" t="s">
        <v>56</v>
      </c>
      <c r="AK174">
        <v>4.2</v>
      </c>
      <c r="AL174">
        <v>4</v>
      </c>
      <c r="AM174">
        <v>0</v>
      </c>
      <c r="AN174" s="1">
        <v>43508</v>
      </c>
      <c r="AO174">
        <v>0</v>
      </c>
      <c r="AP174">
        <v>19</v>
      </c>
    </row>
    <row r="175" spans="1:42">
      <c r="A175" t="s">
        <v>336</v>
      </c>
      <c r="B175" t="str">
        <f t="shared" si="6"/>
        <v>Allison</v>
      </c>
      <c r="C175" t="str">
        <f t="shared" si="7"/>
        <v>Lydon</v>
      </c>
      <c r="D175">
        <f t="shared" ca="1" si="8"/>
        <v>11</v>
      </c>
      <c r="E175" t="str" cm="1">
        <f t="array" ref="E175">_xlfn.IFS(P175&lt;40000, "Low", P175&lt;70000, "MID", P175&lt;100000, "HIGH", P175&gt;=100000, "Executive")</f>
        <v>MID</v>
      </c>
      <c r="F175" t="str" cm="1">
        <f t="array" ref="F175">_xlfn.IFS(AJ175="Exceeds", "Top Performer", AJ175="Fully Meets", "Solid Performer", AJ175="Needs Improvement", "Underperformer", AJ175="PIP", "At Risk")</f>
        <v>Solid Performer</v>
      </c>
      <c r="G175" t="str" cm="1">
        <f t="array" ref="G175">_xlfn.IFS(AE175="Active", "Retained", AE175="Voluntarily Terminated", "Voluntary Exit", AE175="Terminated for Cause", "Involuntary Exit")</f>
        <v>Retained</v>
      </c>
      <c r="H175">
        <v>10057</v>
      </c>
      <c r="I175">
        <v>1</v>
      </c>
      <c r="J175">
        <v>1</v>
      </c>
      <c r="K175">
        <v>0</v>
      </c>
      <c r="L175">
        <v>3</v>
      </c>
      <c r="M175">
        <v>5</v>
      </c>
      <c r="N175">
        <v>3</v>
      </c>
      <c r="O175">
        <v>0</v>
      </c>
      <c r="P175">
        <v>52057</v>
      </c>
      <c r="Q175">
        <v>0</v>
      </c>
      <c r="R175">
        <v>19</v>
      </c>
      <c r="S175" t="s">
        <v>44</v>
      </c>
      <c r="T175" t="s">
        <v>45</v>
      </c>
      <c r="U175">
        <v>2122</v>
      </c>
      <c r="V175" s="1">
        <v>27689</v>
      </c>
      <c r="W175" t="s">
        <v>68</v>
      </c>
      <c r="X175" t="s">
        <v>59</v>
      </c>
      <c r="Y175" t="s">
        <v>48</v>
      </c>
      <c r="Z175" t="s">
        <v>49</v>
      </c>
      <c r="AA175" t="s">
        <v>89</v>
      </c>
      <c r="AB175" s="1">
        <v>42051</v>
      </c>
      <c r="AD175" t="s">
        <v>51</v>
      </c>
      <c r="AE175" t="s">
        <v>52</v>
      </c>
      <c r="AF175" t="s">
        <v>53</v>
      </c>
      <c r="AG175" t="s">
        <v>72</v>
      </c>
      <c r="AH175">
        <v>16</v>
      </c>
      <c r="AI175" t="s">
        <v>208</v>
      </c>
      <c r="AJ175" t="s">
        <v>65</v>
      </c>
      <c r="AK175">
        <v>5</v>
      </c>
      <c r="AL175">
        <v>3</v>
      </c>
      <c r="AM175">
        <v>0</v>
      </c>
      <c r="AN175" s="1">
        <v>43488</v>
      </c>
      <c r="AO175">
        <v>0</v>
      </c>
      <c r="AP175">
        <v>6</v>
      </c>
    </row>
    <row r="176" spans="1:42">
      <c r="A176" t="s">
        <v>337</v>
      </c>
      <c r="B176" t="str">
        <f t="shared" si="6"/>
        <v>Lindsay</v>
      </c>
      <c r="C176" t="str">
        <f t="shared" si="7"/>
        <v>Lynch</v>
      </c>
      <c r="D176">
        <f t="shared" ca="1" si="8"/>
        <v>4</v>
      </c>
      <c r="E176" t="str" cm="1">
        <f t="array" ref="E176">_xlfn.IFS(P176&lt;40000, "Low", P176&lt;70000, "MID", P176&lt;100000, "HIGH", P176&gt;=100000, "Executive")</f>
        <v>MID</v>
      </c>
      <c r="F176" t="str" cm="1">
        <f t="array" ref="F176">_xlfn.IFS(AJ176="Exceeds", "Top Performer", AJ176="Fully Meets", "Solid Performer", AJ176="Needs Improvement", "Underperformer", AJ176="PIP", "At Risk")</f>
        <v>Top Performer</v>
      </c>
      <c r="G176" t="str" cm="1">
        <f t="array" ref="G176">_xlfn.IFS(AE176="Active", "Retained", AE176="Voluntarily Terminated", "Voluntary Exit", AE176="Terminated for Cause", "Involuntary Exit")</f>
        <v>Voluntary Exit</v>
      </c>
      <c r="H176">
        <v>10004</v>
      </c>
      <c r="I176">
        <v>0</v>
      </c>
      <c r="J176">
        <v>0</v>
      </c>
      <c r="K176">
        <v>0</v>
      </c>
      <c r="L176">
        <v>5</v>
      </c>
      <c r="M176">
        <v>5</v>
      </c>
      <c r="N176">
        <v>4</v>
      </c>
      <c r="O176">
        <v>1</v>
      </c>
      <c r="P176">
        <v>47434</v>
      </c>
      <c r="Q176">
        <v>1</v>
      </c>
      <c r="R176">
        <v>19</v>
      </c>
      <c r="S176" t="s">
        <v>44</v>
      </c>
      <c r="T176" t="s">
        <v>45</v>
      </c>
      <c r="U176">
        <v>1844</v>
      </c>
      <c r="V176" s="1">
        <v>26709</v>
      </c>
      <c r="W176" t="s">
        <v>68</v>
      </c>
      <c r="X176" t="s">
        <v>47</v>
      </c>
      <c r="Y176" t="s">
        <v>48</v>
      </c>
      <c r="Z176" t="s">
        <v>96</v>
      </c>
      <c r="AA176" t="s">
        <v>89</v>
      </c>
      <c r="AB176" s="1">
        <v>40854</v>
      </c>
      <c r="AC176" s="1">
        <v>42322</v>
      </c>
      <c r="AD176" t="s">
        <v>97</v>
      </c>
      <c r="AE176" t="s">
        <v>61</v>
      </c>
      <c r="AF176" t="s">
        <v>53</v>
      </c>
      <c r="AG176" t="s">
        <v>76</v>
      </c>
      <c r="AH176">
        <v>39</v>
      </c>
      <c r="AI176" t="s">
        <v>91</v>
      </c>
      <c r="AJ176" t="s">
        <v>56</v>
      </c>
      <c r="AK176">
        <v>5</v>
      </c>
      <c r="AL176">
        <v>4</v>
      </c>
      <c r="AM176">
        <v>0</v>
      </c>
      <c r="AN176" s="1">
        <v>42037</v>
      </c>
      <c r="AO176">
        <v>0</v>
      </c>
      <c r="AP176">
        <v>17</v>
      </c>
    </row>
    <row r="177" spans="1:42">
      <c r="A177" t="s">
        <v>338</v>
      </c>
      <c r="B177" t="str">
        <f t="shared" si="6"/>
        <v>Samuel</v>
      </c>
      <c r="C177" t="str">
        <f t="shared" si="7"/>
        <v>MacLennan</v>
      </c>
      <c r="D177">
        <f t="shared" ca="1" si="8"/>
        <v>5</v>
      </c>
      <c r="E177" t="str" cm="1">
        <f t="array" ref="E177">_xlfn.IFS(P177&lt;40000, "Low", P177&lt;70000, "MID", P177&lt;100000, "HIGH", P177&gt;=100000, "Executive")</f>
        <v>MID</v>
      </c>
      <c r="F177" t="str" cm="1">
        <f t="array" ref="F177">_xlfn.IFS(AJ177="Exceeds", "Top Performer", AJ177="Fully Meets", "Solid Performer", AJ177="Needs Improvement", "Underperformer", AJ177="PIP", "At Risk")</f>
        <v>Solid Performer</v>
      </c>
      <c r="G177" t="str" cm="1">
        <f t="array" ref="G177">_xlfn.IFS(AE177="Active", "Retained", AE177="Voluntarily Terminated", "Voluntary Exit", AE177="Terminated for Cause", "Involuntary Exit")</f>
        <v>Voluntary Exit</v>
      </c>
      <c r="H177">
        <v>10191</v>
      </c>
      <c r="I177">
        <v>0</v>
      </c>
      <c r="J177">
        <v>4</v>
      </c>
      <c r="K177">
        <v>1</v>
      </c>
      <c r="L177">
        <v>5</v>
      </c>
      <c r="M177">
        <v>5</v>
      </c>
      <c r="N177">
        <v>3</v>
      </c>
      <c r="O177">
        <v>0</v>
      </c>
      <c r="P177">
        <v>52788</v>
      </c>
      <c r="Q177">
        <v>1</v>
      </c>
      <c r="R177">
        <v>19</v>
      </c>
      <c r="S177" t="s">
        <v>44</v>
      </c>
      <c r="T177" t="s">
        <v>45</v>
      </c>
      <c r="U177">
        <v>1938</v>
      </c>
      <c r="V177" s="1">
        <v>26612</v>
      </c>
      <c r="W177" t="s">
        <v>46</v>
      </c>
      <c r="X177" t="s">
        <v>85</v>
      </c>
      <c r="Y177" t="s">
        <v>48</v>
      </c>
      <c r="Z177" t="s">
        <v>49</v>
      </c>
      <c r="AA177" t="s">
        <v>50</v>
      </c>
      <c r="AB177" s="1">
        <v>41176</v>
      </c>
      <c r="AC177" s="1">
        <v>43004</v>
      </c>
      <c r="AD177" t="s">
        <v>69</v>
      </c>
      <c r="AE177" t="s">
        <v>61</v>
      </c>
      <c r="AF177" t="s">
        <v>53</v>
      </c>
      <c r="AG177" t="s">
        <v>79</v>
      </c>
      <c r="AH177">
        <v>11</v>
      </c>
      <c r="AI177" t="s">
        <v>64</v>
      </c>
      <c r="AJ177" t="s">
        <v>65</v>
      </c>
      <c r="AK177">
        <v>3.08</v>
      </c>
      <c r="AL177">
        <v>4</v>
      </c>
      <c r="AM177">
        <v>0</v>
      </c>
      <c r="AN177" s="1">
        <v>42826</v>
      </c>
      <c r="AO177">
        <v>0</v>
      </c>
      <c r="AP177">
        <v>18</v>
      </c>
    </row>
    <row r="178" spans="1:42">
      <c r="A178" t="s">
        <v>339</v>
      </c>
      <c r="B178" t="str">
        <f t="shared" si="6"/>
        <v>Lauren</v>
      </c>
      <c r="C178" t="str">
        <f t="shared" si="7"/>
        <v>Mahoney</v>
      </c>
      <c r="D178">
        <f t="shared" ca="1" si="8"/>
        <v>12</v>
      </c>
      <c r="E178" t="str" cm="1">
        <f t="array" ref="E178">_xlfn.IFS(P178&lt;40000, "Low", P178&lt;70000, "MID", P178&lt;100000, "HIGH", P178&gt;=100000, "Executive")</f>
        <v>MID</v>
      </c>
      <c r="F178" t="str" cm="1">
        <f t="array" ref="F178">_xlfn.IFS(AJ178="Exceeds", "Top Performer", AJ178="Fully Meets", "Solid Performer", AJ178="Needs Improvement", "Underperformer", AJ178="PIP", "At Risk")</f>
        <v>Solid Performer</v>
      </c>
      <c r="G178" t="str" cm="1">
        <f t="array" ref="G178">_xlfn.IFS(AE178="Active", "Retained", AE178="Voluntarily Terminated", "Voluntary Exit", AE178="Terminated for Cause", "Involuntary Exit")</f>
        <v>Retained</v>
      </c>
      <c r="H178">
        <v>10219</v>
      </c>
      <c r="I178">
        <v>0</v>
      </c>
      <c r="J178">
        <v>0</v>
      </c>
      <c r="K178">
        <v>0</v>
      </c>
      <c r="L178">
        <v>1</v>
      </c>
      <c r="M178">
        <v>5</v>
      </c>
      <c r="N178">
        <v>3</v>
      </c>
      <c r="O178">
        <v>0</v>
      </c>
      <c r="P178">
        <v>45395</v>
      </c>
      <c r="Q178">
        <v>0</v>
      </c>
      <c r="R178">
        <v>19</v>
      </c>
      <c r="S178" t="s">
        <v>44</v>
      </c>
      <c r="T178" t="s">
        <v>45</v>
      </c>
      <c r="U178">
        <v>2189</v>
      </c>
      <c r="V178" s="1">
        <v>31600</v>
      </c>
      <c r="W178" t="s">
        <v>68</v>
      </c>
      <c r="X178" t="s">
        <v>47</v>
      </c>
      <c r="Y178" t="s">
        <v>48</v>
      </c>
      <c r="Z178" t="s">
        <v>49</v>
      </c>
      <c r="AA178" t="s">
        <v>50</v>
      </c>
      <c r="AB178" s="1">
        <v>41645</v>
      </c>
      <c r="AD178" t="s">
        <v>51</v>
      </c>
      <c r="AE178" t="s">
        <v>52</v>
      </c>
      <c r="AF178" t="s">
        <v>53</v>
      </c>
      <c r="AG178" t="s">
        <v>86</v>
      </c>
      <c r="AH178">
        <v>19</v>
      </c>
      <c r="AI178" t="s">
        <v>55</v>
      </c>
      <c r="AJ178" t="s">
        <v>65</v>
      </c>
      <c r="AK178">
        <v>4.5999999999999996</v>
      </c>
      <c r="AL178">
        <v>4</v>
      </c>
      <c r="AM178">
        <v>0</v>
      </c>
      <c r="AN178" s="1">
        <v>43522</v>
      </c>
      <c r="AO178">
        <v>0</v>
      </c>
      <c r="AP178">
        <v>14</v>
      </c>
    </row>
    <row r="179" spans="1:42">
      <c r="A179" t="s">
        <v>340</v>
      </c>
      <c r="B179" t="str">
        <f t="shared" si="6"/>
        <v>Robyn</v>
      </c>
      <c r="C179" t="str">
        <f t="shared" si="7"/>
        <v>Manchester</v>
      </c>
      <c r="D179">
        <f t="shared" ca="1" si="8"/>
        <v>9</v>
      </c>
      <c r="E179" t="str" cm="1">
        <f t="array" ref="E179">_xlfn.IFS(P179&lt;40000, "Low", P179&lt;70000, "MID", P179&lt;100000, "HIGH", P179&gt;=100000, "Executive")</f>
        <v>MID</v>
      </c>
      <c r="F179" t="str" cm="1">
        <f t="array" ref="F179">_xlfn.IFS(AJ179="Exceeds", "Top Performer", AJ179="Fully Meets", "Solid Performer", AJ179="Needs Improvement", "Underperformer", AJ179="PIP", "At Risk")</f>
        <v>Solid Performer</v>
      </c>
      <c r="G179" t="str" cm="1">
        <f t="array" ref="G179">_xlfn.IFS(AE179="Active", "Retained", AE179="Voluntarily Terminated", "Voluntary Exit", AE179="Terminated for Cause", "Involuntary Exit")</f>
        <v>Retained</v>
      </c>
      <c r="H179">
        <v>10077</v>
      </c>
      <c r="I179">
        <v>1</v>
      </c>
      <c r="J179">
        <v>1</v>
      </c>
      <c r="K179">
        <v>0</v>
      </c>
      <c r="L179">
        <v>2</v>
      </c>
      <c r="M179">
        <v>5</v>
      </c>
      <c r="N179">
        <v>3</v>
      </c>
      <c r="O179">
        <v>0</v>
      </c>
      <c r="P179">
        <v>62385</v>
      </c>
      <c r="Q179">
        <v>0</v>
      </c>
      <c r="R179">
        <v>20</v>
      </c>
      <c r="S179" t="s">
        <v>67</v>
      </c>
      <c r="T179" t="s">
        <v>45</v>
      </c>
      <c r="U179">
        <v>2324</v>
      </c>
      <c r="V179" s="1">
        <v>27997</v>
      </c>
      <c r="W179" t="s">
        <v>68</v>
      </c>
      <c r="X179" t="s">
        <v>59</v>
      </c>
      <c r="Y179" t="s">
        <v>48</v>
      </c>
      <c r="Z179" t="s">
        <v>49</v>
      </c>
      <c r="AA179" t="s">
        <v>50</v>
      </c>
      <c r="AB179" s="1">
        <v>42501</v>
      </c>
      <c r="AD179" t="s">
        <v>51</v>
      </c>
      <c r="AE179" t="s">
        <v>52</v>
      </c>
      <c r="AF179" t="s">
        <v>53</v>
      </c>
      <c r="AG179" t="s">
        <v>76</v>
      </c>
      <c r="AI179" t="s">
        <v>55</v>
      </c>
      <c r="AJ179" t="s">
        <v>65</v>
      </c>
      <c r="AK179">
        <v>5</v>
      </c>
      <c r="AL179">
        <v>3</v>
      </c>
      <c r="AM179">
        <v>0</v>
      </c>
      <c r="AN179" s="1">
        <v>43486</v>
      </c>
      <c r="AO179">
        <v>0</v>
      </c>
      <c r="AP179">
        <v>4</v>
      </c>
    </row>
    <row r="180" spans="1:42">
      <c r="A180" t="s">
        <v>341</v>
      </c>
      <c r="B180" t="str">
        <f t="shared" si="6"/>
        <v>Karen</v>
      </c>
      <c r="C180" t="str">
        <f t="shared" si="7"/>
        <v>Mancuso</v>
      </c>
      <c r="D180">
        <f t="shared" ca="1" si="8"/>
        <v>1</v>
      </c>
      <c r="E180" t="str" cm="1">
        <f t="array" ref="E180">_xlfn.IFS(P180&lt;40000, "Low", P180&lt;70000, "MID", P180&lt;100000, "HIGH", P180&gt;=100000, "Executive")</f>
        <v>MID</v>
      </c>
      <c r="F180" t="str" cm="1">
        <f t="array" ref="F180">_xlfn.IFS(AJ180="Exceeds", "Top Performer", AJ180="Fully Meets", "Solid Performer", AJ180="Needs Improvement", "Underperformer", AJ180="PIP", "At Risk")</f>
        <v>Solid Performer</v>
      </c>
      <c r="G180" t="str" cm="1">
        <f t="array" ref="G180">_xlfn.IFS(AE180="Active", "Retained", AE180="Voluntarily Terminated", "Voluntary Exit", AE180="Terminated for Cause", "Involuntary Exit")</f>
        <v>Voluntary Exit</v>
      </c>
      <c r="H180">
        <v>10073</v>
      </c>
      <c r="I180">
        <v>1</v>
      </c>
      <c r="J180">
        <v>1</v>
      </c>
      <c r="K180">
        <v>0</v>
      </c>
      <c r="L180">
        <v>5</v>
      </c>
      <c r="M180">
        <v>5</v>
      </c>
      <c r="N180">
        <v>3</v>
      </c>
      <c r="O180">
        <v>0</v>
      </c>
      <c r="P180">
        <v>68407</v>
      </c>
      <c r="Q180">
        <v>1</v>
      </c>
      <c r="R180">
        <v>20</v>
      </c>
      <c r="S180" t="s">
        <v>67</v>
      </c>
      <c r="T180" t="s">
        <v>45</v>
      </c>
      <c r="U180">
        <v>2176</v>
      </c>
      <c r="V180" s="1">
        <v>31756</v>
      </c>
      <c r="W180" t="s">
        <v>68</v>
      </c>
      <c r="X180" t="s">
        <v>59</v>
      </c>
      <c r="Y180" t="s">
        <v>48</v>
      </c>
      <c r="Z180" t="s">
        <v>49</v>
      </c>
      <c r="AA180" t="s">
        <v>105</v>
      </c>
      <c r="AB180" s="1">
        <v>40729</v>
      </c>
      <c r="AC180" s="1">
        <v>41140</v>
      </c>
      <c r="AD180" t="s">
        <v>97</v>
      </c>
      <c r="AE180" t="s">
        <v>61</v>
      </c>
      <c r="AF180" t="s">
        <v>53</v>
      </c>
      <c r="AG180" t="s">
        <v>79</v>
      </c>
      <c r="AH180">
        <v>11</v>
      </c>
      <c r="AI180" t="s">
        <v>55</v>
      </c>
      <c r="AJ180" t="s">
        <v>65</v>
      </c>
      <c r="AK180">
        <v>5</v>
      </c>
      <c r="AL180">
        <v>4</v>
      </c>
      <c r="AM180">
        <v>0</v>
      </c>
      <c r="AN180" s="1">
        <v>41092</v>
      </c>
      <c r="AO180">
        <v>0</v>
      </c>
      <c r="AP180">
        <v>16</v>
      </c>
    </row>
    <row r="181" spans="1:42">
      <c r="A181" t="s">
        <v>342</v>
      </c>
      <c r="B181" t="str">
        <f t="shared" si="6"/>
        <v>Debbie</v>
      </c>
      <c r="C181" t="str">
        <f t="shared" si="7"/>
        <v>Mangal</v>
      </c>
      <c r="D181">
        <f t="shared" ca="1" si="8"/>
        <v>12</v>
      </c>
      <c r="E181" t="str" cm="1">
        <f t="array" ref="E181">_xlfn.IFS(P181&lt;40000, "Low", P181&lt;70000, "MID", P181&lt;100000, "HIGH", P181&gt;=100000, "Executive")</f>
        <v>MID</v>
      </c>
      <c r="F181" t="str" cm="1">
        <f t="array" ref="F181">_xlfn.IFS(AJ181="Exceeds", "Top Performer", AJ181="Fully Meets", "Solid Performer", AJ181="Needs Improvement", "Underperformer", AJ181="PIP", "At Risk")</f>
        <v>Solid Performer</v>
      </c>
      <c r="G181" t="str" cm="1">
        <f t="array" ref="G181">_xlfn.IFS(AE181="Active", "Retained", AE181="Voluntarily Terminated", "Voluntary Exit", AE181="Terminated for Cause", "Involuntary Exit")</f>
        <v>Retained</v>
      </c>
      <c r="H181">
        <v>10279</v>
      </c>
      <c r="I181">
        <v>1</v>
      </c>
      <c r="J181">
        <v>1</v>
      </c>
      <c r="K181">
        <v>0</v>
      </c>
      <c r="L181">
        <v>1</v>
      </c>
      <c r="M181">
        <v>5</v>
      </c>
      <c r="N181">
        <v>3</v>
      </c>
      <c r="O181">
        <v>0</v>
      </c>
      <c r="P181">
        <v>61349</v>
      </c>
      <c r="Q181">
        <v>0</v>
      </c>
      <c r="R181">
        <v>19</v>
      </c>
      <c r="S181" t="s">
        <v>44</v>
      </c>
      <c r="T181" t="s">
        <v>45</v>
      </c>
      <c r="U181">
        <v>2451</v>
      </c>
      <c r="V181" s="1">
        <v>27340</v>
      </c>
      <c r="W181" t="s">
        <v>68</v>
      </c>
      <c r="X181" t="s">
        <v>59</v>
      </c>
      <c r="Y181" t="s">
        <v>48</v>
      </c>
      <c r="Z181" t="s">
        <v>49</v>
      </c>
      <c r="AA181" t="s">
        <v>50</v>
      </c>
      <c r="AB181" s="1">
        <v>41589</v>
      </c>
      <c r="AD181" t="s">
        <v>51</v>
      </c>
      <c r="AE181" t="s">
        <v>52</v>
      </c>
      <c r="AF181" t="s">
        <v>53</v>
      </c>
      <c r="AG181" t="s">
        <v>90</v>
      </c>
      <c r="AH181">
        <v>12</v>
      </c>
      <c r="AI181" t="s">
        <v>55</v>
      </c>
      <c r="AJ181" t="s">
        <v>65</v>
      </c>
      <c r="AK181">
        <v>4.0999999999999996</v>
      </c>
      <c r="AL181">
        <v>3</v>
      </c>
      <c r="AM181">
        <v>0</v>
      </c>
      <c r="AN181" s="1">
        <v>43487</v>
      </c>
      <c r="AO181">
        <v>0</v>
      </c>
      <c r="AP181">
        <v>11</v>
      </c>
    </row>
    <row r="182" spans="1:42">
      <c r="A182" t="s">
        <v>343</v>
      </c>
      <c r="B182" t="str">
        <f t="shared" si="6"/>
        <v>Sandra</v>
      </c>
      <c r="C182" t="str">
        <f t="shared" si="7"/>
        <v>Martin</v>
      </c>
      <c r="D182">
        <f t="shared" ca="1" si="8"/>
        <v>12</v>
      </c>
      <c r="E182" t="str" cm="1">
        <f t="array" ref="E182">_xlfn.IFS(P182&lt;40000, "Low", P182&lt;70000, "MID", P182&lt;100000, "HIGH", P182&gt;=100000, "Executive")</f>
        <v>Executive</v>
      </c>
      <c r="F182" t="str" cm="1">
        <f t="array" ref="F182">_xlfn.IFS(AJ182="Exceeds", "Top Performer", AJ182="Fully Meets", "Solid Performer", AJ182="Needs Improvement", "Underperformer", AJ182="PIP", "At Risk")</f>
        <v>Solid Performer</v>
      </c>
      <c r="G182" t="str" cm="1">
        <f t="array" ref="G182">_xlfn.IFS(AE182="Active", "Retained", AE182="Voluntarily Terminated", "Voluntary Exit", AE182="Terminated for Cause", "Involuntary Exit")</f>
        <v>Retained</v>
      </c>
      <c r="H182">
        <v>10110</v>
      </c>
      <c r="I182">
        <v>0</v>
      </c>
      <c r="J182">
        <v>0</v>
      </c>
      <c r="K182">
        <v>0</v>
      </c>
      <c r="L182">
        <v>1</v>
      </c>
      <c r="M182">
        <v>4</v>
      </c>
      <c r="N182">
        <v>3</v>
      </c>
      <c r="O182">
        <v>0</v>
      </c>
      <c r="P182">
        <v>105688</v>
      </c>
      <c r="Q182">
        <v>0</v>
      </c>
      <c r="R182">
        <v>24</v>
      </c>
      <c r="S182" t="s">
        <v>81</v>
      </c>
      <c r="T182" t="s">
        <v>45</v>
      </c>
      <c r="U182">
        <v>2135</v>
      </c>
      <c r="V182" s="1">
        <v>32088</v>
      </c>
      <c r="W182" t="s">
        <v>68</v>
      </c>
      <c r="X182" t="s">
        <v>47</v>
      </c>
      <c r="Y182" t="s">
        <v>48</v>
      </c>
      <c r="Z182" t="s">
        <v>49</v>
      </c>
      <c r="AA182" t="s">
        <v>119</v>
      </c>
      <c r="AB182" s="1">
        <v>41589</v>
      </c>
      <c r="AD182" t="s">
        <v>51</v>
      </c>
      <c r="AE182" t="s">
        <v>52</v>
      </c>
      <c r="AF182" t="s">
        <v>82</v>
      </c>
      <c r="AG182" t="s">
        <v>83</v>
      </c>
      <c r="AH182">
        <v>10</v>
      </c>
      <c r="AI182" t="s">
        <v>77</v>
      </c>
      <c r="AJ182" t="s">
        <v>65</v>
      </c>
      <c r="AK182">
        <v>4.5</v>
      </c>
      <c r="AL182">
        <v>5</v>
      </c>
      <c r="AM182">
        <v>4</v>
      </c>
      <c r="AN182" s="1">
        <v>43479</v>
      </c>
      <c r="AO182">
        <v>0</v>
      </c>
      <c r="AP182">
        <v>14</v>
      </c>
    </row>
    <row r="183" spans="1:42">
      <c r="A183" t="s">
        <v>344</v>
      </c>
      <c r="B183" t="str">
        <f t="shared" si="6"/>
        <v>Shana</v>
      </c>
      <c r="C183" t="str">
        <f t="shared" si="7"/>
        <v>Maurice</v>
      </c>
      <c r="D183">
        <f t="shared" ca="1" si="8"/>
        <v>14</v>
      </c>
      <c r="E183" t="str" cm="1">
        <f t="array" ref="E183">_xlfn.IFS(P183&lt;40000, "Low", P183&lt;70000, "MID", P183&lt;100000, "HIGH", P183&gt;=100000, "Executive")</f>
        <v>MID</v>
      </c>
      <c r="F183" t="str" cm="1">
        <f t="array" ref="F183">_xlfn.IFS(AJ183="Exceeds", "Top Performer", AJ183="Fully Meets", "Solid Performer", AJ183="Needs Improvement", "Underperformer", AJ183="PIP", "At Risk")</f>
        <v>Solid Performer</v>
      </c>
      <c r="G183" t="str" cm="1">
        <f t="array" ref="G183">_xlfn.IFS(AE183="Active", "Retained", AE183="Voluntarily Terminated", "Voluntary Exit", AE183="Terminated for Cause", "Involuntary Exit")</f>
        <v>Retained</v>
      </c>
      <c r="H183">
        <v>10053</v>
      </c>
      <c r="I183">
        <v>1</v>
      </c>
      <c r="J183">
        <v>1</v>
      </c>
      <c r="K183">
        <v>0</v>
      </c>
      <c r="L183">
        <v>1</v>
      </c>
      <c r="M183">
        <v>5</v>
      </c>
      <c r="N183">
        <v>3</v>
      </c>
      <c r="O183">
        <v>0</v>
      </c>
      <c r="P183">
        <v>54132</v>
      </c>
      <c r="Q183">
        <v>0</v>
      </c>
      <c r="R183">
        <v>19</v>
      </c>
      <c r="S183" t="s">
        <v>44</v>
      </c>
      <c r="T183" t="s">
        <v>45</v>
      </c>
      <c r="U183">
        <v>2330</v>
      </c>
      <c r="V183" s="1">
        <v>28451</v>
      </c>
      <c r="W183" t="s">
        <v>68</v>
      </c>
      <c r="X183" t="s">
        <v>59</v>
      </c>
      <c r="Y183" t="s">
        <v>48</v>
      </c>
      <c r="Z183" t="s">
        <v>49</v>
      </c>
      <c r="AA183" t="s">
        <v>50</v>
      </c>
      <c r="AB183" s="1">
        <v>40694</v>
      </c>
      <c r="AD183" t="s">
        <v>51</v>
      </c>
      <c r="AE183" t="s">
        <v>52</v>
      </c>
      <c r="AF183" t="s">
        <v>53</v>
      </c>
      <c r="AG183" t="s">
        <v>98</v>
      </c>
      <c r="AH183">
        <v>14</v>
      </c>
      <c r="AI183" t="s">
        <v>64</v>
      </c>
      <c r="AJ183" t="s">
        <v>65</v>
      </c>
      <c r="AK183">
        <v>5</v>
      </c>
      <c r="AL183">
        <v>4</v>
      </c>
      <c r="AM183">
        <v>0</v>
      </c>
      <c r="AN183" s="1">
        <v>43475</v>
      </c>
      <c r="AO183">
        <v>0</v>
      </c>
      <c r="AP183">
        <v>8</v>
      </c>
    </row>
    <row r="184" spans="1:42">
      <c r="A184" t="s">
        <v>345</v>
      </c>
      <c r="B184" t="str">
        <f t="shared" si="6"/>
        <v>B'rigit</v>
      </c>
      <c r="C184" t="str">
        <f t="shared" si="7"/>
        <v>Carthy</v>
      </c>
      <c r="D184">
        <f t="shared" ca="1" si="8"/>
        <v>11</v>
      </c>
      <c r="E184" t="str" cm="1">
        <f t="array" ref="E184">_xlfn.IFS(P184&lt;40000, "Low", P184&lt;70000, "MID", P184&lt;100000, "HIGH", P184&gt;=100000, "Executive")</f>
        <v>MID</v>
      </c>
      <c r="F184" t="str" cm="1">
        <f t="array" ref="F184">_xlfn.IFS(AJ184="Exceeds", "Top Performer", AJ184="Fully Meets", "Solid Performer", AJ184="Needs Improvement", "Underperformer", AJ184="PIP", "At Risk")</f>
        <v>Solid Performer</v>
      </c>
      <c r="G184" t="str" cm="1">
        <f t="array" ref="G184">_xlfn.IFS(AE184="Active", "Retained", AE184="Voluntarily Terminated", "Voluntary Exit", AE184="Terminated for Cause", "Involuntary Exit")</f>
        <v>Retained</v>
      </c>
      <c r="H184">
        <v>10076</v>
      </c>
      <c r="I184">
        <v>0</v>
      </c>
      <c r="J184">
        <v>0</v>
      </c>
      <c r="K184">
        <v>0</v>
      </c>
      <c r="L184">
        <v>1</v>
      </c>
      <c r="M184">
        <v>5</v>
      </c>
      <c r="N184">
        <v>3</v>
      </c>
      <c r="O184">
        <v>0</v>
      </c>
      <c r="P184">
        <v>55315</v>
      </c>
      <c r="Q184">
        <v>0</v>
      </c>
      <c r="R184">
        <v>20</v>
      </c>
      <c r="S184" t="s">
        <v>67</v>
      </c>
      <c r="T184" t="s">
        <v>45</v>
      </c>
      <c r="U184">
        <v>2149</v>
      </c>
      <c r="V184" s="1">
        <v>31918</v>
      </c>
      <c r="W184" t="s">
        <v>68</v>
      </c>
      <c r="X184" t="s">
        <v>47</v>
      </c>
      <c r="Y184" t="s">
        <v>48</v>
      </c>
      <c r="Z184" t="s">
        <v>49</v>
      </c>
      <c r="AA184" t="s">
        <v>89</v>
      </c>
      <c r="AB184" s="1">
        <v>42093</v>
      </c>
      <c r="AD184" t="s">
        <v>51</v>
      </c>
      <c r="AE184" t="s">
        <v>52</v>
      </c>
      <c r="AF184" t="s">
        <v>53</v>
      </c>
      <c r="AG184" t="s">
        <v>86</v>
      </c>
      <c r="AH184">
        <v>19</v>
      </c>
      <c r="AI184" t="s">
        <v>55</v>
      </c>
      <c r="AJ184" t="s">
        <v>65</v>
      </c>
      <c r="AK184">
        <v>5</v>
      </c>
      <c r="AL184">
        <v>5</v>
      </c>
      <c r="AM184">
        <v>0</v>
      </c>
      <c r="AN184" s="1">
        <v>43503</v>
      </c>
      <c r="AO184">
        <v>0</v>
      </c>
      <c r="AP184">
        <v>16</v>
      </c>
    </row>
    <row r="185" spans="1:42">
      <c r="A185" t="s">
        <v>346</v>
      </c>
      <c r="B185" t="str">
        <f t="shared" si="6"/>
        <v>Sandy</v>
      </c>
      <c r="C185" t="str">
        <f t="shared" si="7"/>
        <v>Mckenna</v>
      </c>
      <c r="D185">
        <f t="shared" ca="1" si="8"/>
        <v>13</v>
      </c>
      <c r="E185" t="str" cm="1">
        <f t="array" ref="E185">_xlfn.IFS(P185&lt;40000, "Low", P185&lt;70000, "MID", P185&lt;100000, "HIGH", P185&gt;=100000, "Executive")</f>
        <v>MID</v>
      </c>
      <c r="F185" t="str" cm="1">
        <f t="array" ref="F185">_xlfn.IFS(AJ185="Exceeds", "Top Performer", AJ185="Fully Meets", "Solid Performer", AJ185="Needs Improvement", "Underperformer", AJ185="PIP", "At Risk")</f>
        <v>Solid Performer</v>
      </c>
      <c r="G185" t="str" cm="1">
        <f t="array" ref="G185">_xlfn.IFS(AE185="Active", "Retained", AE185="Voluntarily Terminated", "Voluntary Exit", AE185="Terminated for Cause", "Involuntary Exit")</f>
        <v>Retained</v>
      </c>
      <c r="H185">
        <v>10145</v>
      </c>
      <c r="I185">
        <v>1</v>
      </c>
      <c r="J185">
        <v>1</v>
      </c>
      <c r="K185">
        <v>0</v>
      </c>
      <c r="L185">
        <v>1</v>
      </c>
      <c r="M185">
        <v>5</v>
      </c>
      <c r="N185">
        <v>3</v>
      </c>
      <c r="O185">
        <v>0</v>
      </c>
      <c r="P185">
        <v>62810</v>
      </c>
      <c r="Q185">
        <v>0</v>
      </c>
      <c r="R185">
        <v>19</v>
      </c>
      <c r="S185" t="s">
        <v>44</v>
      </c>
      <c r="T185" t="s">
        <v>45</v>
      </c>
      <c r="U185">
        <v>2184</v>
      </c>
      <c r="V185" s="1">
        <v>31784</v>
      </c>
      <c r="W185" t="s">
        <v>68</v>
      </c>
      <c r="X185" t="s">
        <v>59</v>
      </c>
      <c r="Y185" t="s">
        <v>48</v>
      </c>
      <c r="Z185" t="s">
        <v>49</v>
      </c>
      <c r="AA185" t="s">
        <v>89</v>
      </c>
      <c r="AB185" s="1">
        <v>41281</v>
      </c>
      <c r="AD185" t="s">
        <v>51</v>
      </c>
      <c r="AE185" t="s">
        <v>52</v>
      </c>
      <c r="AF185" t="s">
        <v>53</v>
      </c>
      <c r="AG185" t="s">
        <v>70</v>
      </c>
      <c r="AH185">
        <v>20</v>
      </c>
      <c r="AI185" t="s">
        <v>124</v>
      </c>
      <c r="AJ185" t="s">
        <v>65</v>
      </c>
      <c r="AK185">
        <v>3.93</v>
      </c>
      <c r="AL185">
        <v>3</v>
      </c>
      <c r="AM185">
        <v>0</v>
      </c>
      <c r="AN185" s="1">
        <v>43495</v>
      </c>
      <c r="AO185">
        <v>0</v>
      </c>
      <c r="AP185">
        <v>20</v>
      </c>
    </row>
    <row r="186" spans="1:42">
      <c r="A186" t="s">
        <v>347</v>
      </c>
      <c r="B186" t="str">
        <f t="shared" si="6"/>
        <v>Jac</v>
      </c>
      <c r="C186" t="str">
        <f t="shared" si="7"/>
        <v>McKinzie</v>
      </c>
      <c r="D186">
        <f t="shared" ca="1" si="8"/>
        <v>9</v>
      </c>
      <c r="E186" t="str" cm="1">
        <f t="array" ref="E186">_xlfn.IFS(P186&lt;40000, "Low", P186&lt;70000, "MID", P186&lt;100000, "HIGH", P186&gt;=100000, "Executive")</f>
        <v>MID</v>
      </c>
      <c r="F186" t="str" cm="1">
        <f t="array" ref="F186">_xlfn.IFS(AJ186="Exceeds", "Top Performer", AJ186="Fully Meets", "Solid Performer", AJ186="Needs Improvement", "Underperformer", AJ186="PIP", "At Risk")</f>
        <v>Solid Performer</v>
      </c>
      <c r="G186" t="str" cm="1">
        <f t="array" ref="G186">_xlfn.IFS(AE186="Active", "Retained", AE186="Voluntarily Terminated", "Voluntary Exit", AE186="Terminated for Cause", "Involuntary Exit")</f>
        <v>Retained</v>
      </c>
      <c r="H186">
        <v>10202</v>
      </c>
      <c r="I186">
        <v>1</v>
      </c>
      <c r="J186">
        <v>1</v>
      </c>
      <c r="K186">
        <v>1</v>
      </c>
      <c r="L186">
        <v>2</v>
      </c>
      <c r="M186">
        <v>6</v>
      </c>
      <c r="N186">
        <v>3</v>
      </c>
      <c r="O186">
        <v>0</v>
      </c>
      <c r="P186">
        <v>63291</v>
      </c>
      <c r="Q186">
        <v>0</v>
      </c>
      <c r="R186">
        <v>3</v>
      </c>
      <c r="S186" t="s">
        <v>146</v>
      </c>
      <c r="T186" t="s">
        <v>103</v>
      </c>
      <c r="U186">
        <v>78789</v>
      </c>
      <c r="V186" s="1">
        <v>30864</v>
      </c>
      <c r="W186" t="s">
        <v>46</v>
      </c>
      <c r="X186" t="s">
        <v>59</v>
      </c>
      <c r="Y186" t="s">
        <v>48</v>
      </c>
      <c r="Z186" t="s">
        <v>49</v>
      </c>
      <c r="AA186" t="s">
        <v>105</v>
      </c>
      <c r="AB186" s="1">
        <v>42557</v>
      </c>
      <c r="AD186" t="s">
        <v>51</v>
      </c>
      <c r="AE186" t="s">
        <v>52</v>
      </c>
      <c r="AF186" t="s">
        <v>148</v>
      </c>
      <c r="AG186" t="s">
        <v>167</v>
      </c>
      <c r="AH186">
        <v>21</v>
      </c>
      <c r="AI186" t="s">
        <v>208</v>
      </c>
      <c r="AJ186" t="s">
        <v>65</v>
      </c>
      <c r="AK186">
        <v>3.4</v>
      </c>
      <c r="AL186">
        <v>4</v>
      </c>
      <c r="AM186">
        <v>0</v>
      </c>
      <c r="AN186" s="1">
        <v>43494</v>
      </c>
      <c r="AO186">
        <v>0</v>
      </c>
      <c r="AP186">
        <v>7</v>
      </c>
    </row>
    <row r="187" spans="1:42">
      <c r="A187" t="s">
        <v>348</v>
      </c>
      <c r="B187" t="str">
        <f t="shared" si="6"/>
        <v>Elizabeth</v>
      </c>
      <c r="C187" t="str">
        <f t="shared" si="7"/>
        <v>Meads</v>
      </c>
      <c r="D187">
        <f t="shared" ca="1" si="8"/>
        <v>4</v>
      </c>
      <c r="E187" t="str" cm="1">
        <f t="array" ref="E187">_xlfn.IFS(P187&lt;40000, "Low", P187&lt;70000, "MID", P187&lt;100000, "HIGH", P187&gt;=100000, "Executive")</f>
        <v>MID</v>
      </c>
      <c r="F187" t="str" cm="1">
        <f t="array" ref="F187">_xlfn.IFS(AJ187="Exceeds", "Top Performer", AJ187="Fully Meets", "Solid Performer", AJ187="Needs Improvement", "Underperformer", AJ187="PIP", "At Risk")</f>
        <v>Solid Performer</v>
      </c>
      <c r="G187" t="str" cm="1">
        <f t="array" ref="G187">_xlfn.IFS(AE187="Active", "Retained", AE187="Voluntarily Terminated", "Voluntary Exit", AE187="Terminated for Cause", "Involuntary Exit")</f>
        <v>Voluntary Exit</v>
      </c>
      <c r="H187">
        <v>10128</v>
      </c>
      <c r="I187">
        <v>0</v>
      </c>
      <c r="J187">
        <v>0</v>
      </c>
      <c r="K187">
        <v>0</v>
      </c>
      <c r="L187">
        <v>5</v>
      </c>
      <c r="M187">
        <v>5</v>
      </c>
      <c r="N187">
        <v>3</v>
      </c>
      <c r="O187">
        <v>1</v>
      </c>
      <c r="P187">
        <v>62659</v>
      </c>
      <c r="Q187">
        <v>1</v>
      </c>
      <c r="R187">
        <v>19</v>
      </c>
      <c r="S187" t="s">
        <v>44</v>
      </c>
      <c r="T187" t="s">
        <v>45</v>
      </c>
      <c r="U187">
        <v>1760</v>
      </c>
      <c r="V187" s="1">
        <v>24988</v>
      </c>
      <c r="W187" t="s">
        <v>68</v>
      </c>
      <c r="X187" t="s">
        <v>47</v>
      </c>
      <c r="Y187" t="s">
        <v>48</v>
      </c>
      <c r="Z187" t="s">
        <v>49</v>
      </c>
      <c r="AA187" t="s">
        <v>89</v>
      </c>
      <c r="AB187" s="1">
        <v>41001</v>
      </c>
      <c r="AC187" s="1">
        <v>42685</v>
      </c>
      <c r="AD187" t="s">
        <v>97</v>
      </c>
      <c r="AE187" t="s">
        <v>61</v>
      </c>
      <c r="AF187" t="s">
        <v>53</v>
      </c>
      <c r="AG187" t="s">
        <v>106</v>
      </c>
      <c r="AH187">
        <v>18</v>
      </c>
      <c r="AI187" t="s">
        <v>91</v>
      </c>
      <c r="AJ187" t="s">
        <v>65</v>
      </c>
      <c r="AK187">
        <v>4.18</v>
      </c>
      <c r="AL187">
        <v>4</v>
      </c>
      <c r="AM187">
        <v>0</v>
      </c>
      <c r="AN187" s="1">
        <v>42405</v>
      </c>
      <c r="AO187">
        <v>0</v>
      </c>
      <c r="AP187">
        <v>17</v>
      </c>
    </row>
    <row r="188" spans="1:42">
      <c r="A188" t="s">
        <v>349</v>
      </c>
      <c r="B188" t="str">
        <f t="shared" si="6"/>
        <v>Jennifer</v>
      </c>
      <c r="C188" t="str">
        <f t="shared" si="7"/>
        <v>Medeiros</v>
      </c>
      <c r="D188">
        <f t="shared" ca="1" si="8"/>
        <v>11</v>
      </c>
      <c r="E188" t="str" cm="1">
        <f t="array" ref="E188">_xlfn.IFS(P188&lt;40000, "Low", P188&lt;70000, "MID", P188&lt;100000, "HIGH", P188&gt;=100000, "Executive")</f>
        <v>MID</v>
      </c>
      <c r="F188" t="str" cm="1">
        <f t="array" ref="F188">_xlfn.IFS(AJ188="Exceeds", "Top Performer", AJ188="Fully Meets", "Solid Performer", AJ188="Needs Improvement", "Underperformer", AJ188="PIP", "At Risk")</f>
        <v>Solid Performer</v>
      </c>
      <c r="G188" t="str" cm="1">
        <f t="array" ref="G188">_xlfn.IFS(AE188="Active", "Retained", AE188="Voluntarily Terminated", "Voluntary Exit", AE188="Terminated for Cause", "Involuntary Exit")</f>
        <v>Retained</v>
      </c>
      <c r="H188">
        <v>10068</v>
      </c>
      <c r="I188">
        <v>0</v>
      </c>
      <c r="J188">
        <v>0</v>
      </c>
      <c r="K188">
        <v>0</v>
      </c>
      <c r="L188">
        <v>1</v>
      </c>
      <c r="M188">
        <v>5</v>
      </c>
      <c r="N188">
        <v>3</v>
      </c>
      <c r="O188">
        <v>0</v>
      </c>
      <c r="P188">
        <v>55688</v>
      </c>
      <c r="Q188">
        <v>0</v>
      </c>
      <c r="R188">
        <v>19</v>
      </c>
      <c r="S188" t="s">
        <v>44</v>
      </c>
      <c r="T188" t="s">
        <v>45</v>
      </c>
      <c r="U188">
        <v>2346</v>
      </c>
      <c r="V188" s="1">
        <v>28025</v>
      </c>
      <c r="W188" t="s">
        <v>68</v>
      </c>
      <c r="X188" t="s">
        <v>47</v>
      </c>
      <c r="Y188" t="s">
        <v>48</v>
      </c>
      <c r="Z188" t="s">
        <v>49</v>
      </c>
      <c r="AA188" t="s">
        <v>50</v>
      </c>
      <c r="AB188" s="1">
        <v>42093</v>
      </c>
      <c r="AD188" t="s">
        <v>51</v>
      </c>
      <c r="AE188" t="s">
        <v>52</v>
      </c>
      <c r="AF188" t="s">
        <v>53</v>
      </c>
      <c r="AG188" t="s">
        <v>54</v>
      </c>
      <c r="AH188">
        <v>22</v>
      </c>
      <c r="AI188" t="s">
        <v>124</v>
      </c>
      <c r="AJ188" t="s">
        <v>65</v>
      </c>
      <c r="AK188">
        <v>5</v>
      </c>
      <c r="AL188">
        <v>4</v>
      </c>
      <c r="AM188">
        <v>0</v>
      </c>
      <c r="AN188" s="1">
        <v>43486</v>
      </c>
      <c r="AO188">
        <v>0</v>
      </c>
      <c r="AP188">
        <v>10</v>
      </c>
    </row>
    <row r="189" spans="1:42">
      <c r="A189" t="s">
        <v>350</v>
      </c>
      <c r="B189" t="str">
        <f t="shared" si="6"/>
        <v>Brannon</v>
      </c>
      <c r="C189" t="str">
        <f t="shared" si="7"/>
        <v>Miller</v>
      </c>
      <c r="D189">
        <f t="shared" ca="1" si="8"/>
        <v>13</v>
      </c>
      <c r="E189" t="str" cm="1">
        <f t="array" ref="E189">_xlfn.IFS(P189&lt;40000, "Low", P189&lt;70000, "MID", P189&lt;100000, "HIGH", P189&gt;=100000, "Executive")</f>
        <v>HIGH</v>
      </c>
      <c r="F189" t="str" cm="1">
        <f t="array" ref="F189">_xlfn.IFS(AJ189="Exceeds", "Top Performer", AJ189="Fully Meets", "Solid Performer", AJ189="Needs Improvement", "Underperformer", AJ189="PIP", "At Risk")</f>
        <v>Solid Performer</v>
      </c>
      <c r="G189" t="str" cm="1">
        <f t="array" ref="G189">_xlfn.IFS(AE189="Active", "Retained", AE189="Voluntarily Terminated", "Voluntary Exit", AE189="Terminated for Cause", "Involuntary Exit")</f>
        <v>Retained</v>
      </c>
      <c r="H189">
        <v>10116</v>
      </c>
      <c r="I189">
        <v>0</v>
      </c>
      <c r="J189">
        <v>0</v>
      </c>
      <c r="K189">
        <v>1</v>
      </c>
      <c r="L189">
        <v>1</v>
      </c>
      <c r="M189">
        <v>5</v>
      </c>
      <c r="N189">
        <v>3</v>
      </c>
      <c r="O189">
        <v>0</v>
      </c>
      <c r="P189">
        <v>83667</v>
      </c>
      <c r="Q189">
        <v>0</v>
      </c>
      <c r="R189">
        <v>18</v>
      </c>
      <c r="S189" t="s">
        <v>136</v>
      </c>
      <c r="T189" t="s">
        <v>45</v>
      </c>
      <c r="U189">
        <v>2045</v>
      </c>
      <c r="V189" s="1">
        <v>29808</v>
      </c>
      <c r="W189" t="s">
        <v>46</v>
      </c>
      <c r="X189" t="s">
        <v>47</v>
      </c>
      <c r="Y189" t="s">
        <v>48</v>
      </c>
      <c r="Z189" t="s">
        <v>351</v>
      </c>
      <c r="AA189" t="s">
        <v>352</v>
      </c>
      <c r="AB189" s="1">
        <v>41137</v>
      </c>
      <c r="AD189" t="s">
        <v>51</v>
      </c>
      <c r="AE189" t="s">
        <v>52</v>
      </c>
      <c r="AF189" t="s">
        <v>53</v>
      </c>
      <c r="AG189" t="s">
        <v>138</v>
      </c>
      <c r="AH189">
        <v>2</v>
      </c>
      <c r="AI189" t="s">
        <v>64</v>
      </c>
      <c r="AJ189" t="s">
        <v>65</v>
      </c>
      <c r="AK189">
        <v>4.37</v>
      </c>
      <c r="AL189">
        <v>3</v>
      </c>
      <c r="AM189">
        <v>0</v>
      </c>
      <c r="AN189" s="1">
        <v>43479</v>
      </c>
      <c r="AO189">
        <v>0</v>
      </c>
      <c r="AP189">
        <v>2</v>
      </c>
    </row>
    <row r="190" spans="1:42">
      <c r="A190" t="s">
        <v>353</v>
      </c>
      <c r="B190" t="str">
        <f t="shared" si="6"/>
        <v>Ned</v>
      </c>
      <c r="C190" t="str">
        <f t="shared" si="7"/>
        <v>Miller</v>
      </c>
      <c r="D190">
        <f t="shared" ca="1" si="8"/>
        <v>3</v>
      </c>
      <c r="E190" t="str" cm="1">
        <f t="array" ref="E190">_xlfn.IFS(P190&lt;40000, "Low", P190&lt;70000, "MID", P190&lt;100000, "HIGH", P190&gt;=100000, "Executive")</f>
        <v>MID</v>
      </c>
      <c r="F190" t="str" cm="1">
        <f t="array" ref="F190">_xlfn.IFS(AJ190="Exceeds", "Top Performer", AJ190="Fully Meets", "Solid Performer", AJ190="Needs Improvement", "Underperformer", AJ190="PIP", "At Risk")</f>
        <v>At Risk</v>
      </c>
      <c r="G190" t="str" cm="1">
        <f t="array" ref="G190">_xlfn.IFS(AE190="Active", "Retained", AE190="Voluntarily Terminated", "Voluntary Exit", AE190="Terminated for Cause", "Involuntary Exit")</f>
        <v>Voluntary Exit</v>
      </c>
      <c r="H190">
        <v>10298</v>
      </c>
      <c r="I190">
        <v>0</v>
      </c>
      <c r="J190">
        <v>0</v>
      </c>
      <c r="K190">
        <v>1</v>
      </c>
      <c r="L190">
        <v>5</v>
      </c>
      <c r="M190">
        <v>5</v>
      </c>
      <c r="N190">
        <v>1</v>
      </c>
      <c r="O190">
        <v>0</v>
      </c>
      <c r="P190">
        <v>55800</v>
      </c>
      <c r="Q190">
        <v>1</v>
      </c>
      <c r="R190">
        <v>20</v>
      </c>
      <c r="S190" t="s">
        <v>67</v>
      </c>
      <c r="T190" t="s">
        <v>45</v>
      </c>
      <c r="U190">
        <v>2472</v>
      </c>
      <c r="V190" s="1">
        <v>31227</v>
      </c>
      <c r="W190" t="s">
        <v>46</v>
      </c>
      <c r="X190" t="s">
        <v>47</v>
      </c>
      <c r="Y190" t="s">
        <v>48</v>
      </c>
      <c r="Z190" t="s">
        <v>49</v>
      </c>
      <c r="AA190" t="s">
        <v>50</v>
      </c>
      <c r="AB190" s="1">
        <v>40770</v>
      </c>
      <c r="AC190" s="1">
        <v>41886</v>
      </c>
      <c r="AD190" t="s">
        <v>100</v>
      </c>
      <c r="AE190" t="s">
        <v>61</v>
      </c>
      <c r="AF190" t="s">
        <v>53</v>
      </c>
      <c r="AG190" t="s">
        <v>90</v>
      </c>
      <c r="AH190">
        <v>12</v>
      </c>
      <c r="AI190" t="s">
        <v>55</v>
      </c>
      <c r="AJ190" t="s">
        <v>198</v>
      </c>
      <c r="AK190">
        <v>3</v>
      </c>
      <c r="AL190">
        <v>2</v>
      </c>
      <c r="AM190">
        <v>0</v>
      </c>
      <c r="AN190" s="1">
        <v>41288</v>
      </c>
      <c r="AO190">
        <v>6</v>
      </c>
      <c r="AP190">
        <v>6</v>
      </c>
    </row>
    <row r="191" spans="1:42">
      <c r="A191" t="s">
        <v>354</v>
      </c>
      <c r="B191" t="str">
        <f t="shared" si="6"/>
        <v>Erasumus</v>
      </c>
      <c r="C191" t="str">
        <f t="shared" si="7"/>
        <v>Monkfish</v>
      </c>
      <c r="D191">
        <f t="shared" ca="1" si="8"/>
        <v>14</v>
      </c>
      <c r="E191" t="str" cm="1">
        <f t="array" ref="E191">_xlfn.IFS(P191&lt;40000, "Low", P191&lt;70000, "MID", P191&lt;100000, "HIGH", P191&gt;=100000, "Executive")</f>
        <v>MID</v>
      </c>
      <c r="F191" t="str" cm="1">
        <f t="array" ref="F191">_xlfn.IFS(AJ191="Exceeds", "Top Performer", AJ191="Fully Meets", "Solid Performer", AJ191="Needs Improvement", "Underperformer", AJ191="PIP", "At Risk")</f>
        <v>Solid Performer</v>
      </c>
      <c r="G191" t="str" cm="1">
        <f t="array" ref="G191">_xlfn.IFS(AE191="Active", "Retained", AE191="Voluntarily Terminated", "Voluntary Exit", AE191="Terminated for Cause", "Involuntary Exit")</f>
        <v>Retained</v>
      </c>
      <c r="H191">
        <v>10213</v>
      </c>
      <c r="I191">
        <v>1</v>
      </c>
      <c r="J191">
        <v>1</v>
      </c>
      <c r="K191">
        <v>1</v>
      </c>
      <c r="L191">
        <v>1</v>
      </c>
      <c r="M191">
        <v>5</v>
      </c>
      <c r="N191">
        <v>3</v>
      </c>
      <c r="O191">
        <v>0</v>
      </c>
      <c r="P191">
        <v>58207</v>
      </c>
      <c r="Q191">
        <v>0</v>
      </c>
      <c r="R191">
        <v>20</v>
      </c>
      <c r="S191" t="s">
        <v>67</v>
      </c>
      <c r="T191" t="s">
        <v>45</v>
      </c>
      <c r="U191">
        <v>1450</v>
      </c>
      <c r="V191" s="1">
        <v>33833</v>
      </c>
      <c r="W191" t="s">
        <v>46</v>
      </c>
      <c r="X191" t="s">
        <v>59</v>
      </c>
      <c r="Y191" t="s">
        <v>48</v>
      </c>
      <c r="Z191" t="s">
        <v>49</v>
      </c>
      <c r="AA191" t="s">
        <v>50</v>
      </c>
      <c r="AB191" s="1">
        <v>40854</v>
      </c>
      <c r="AD191" t="s">
        <v>51</v>
      </c>
      <c r="AE191" t="s">
        <v>52</v>
      </c>
      <c r="AF191" t="s">
        <v>53</v>
      </c>
      <c r="AG191" t="s">
        <v>98</v>
      </c>
      <c r="AH191">
        <v>14</v>
      </c>
      <c r="AI191" t="s">
        <v>55</v>
      </c>
      <c r="AJ191" t="s">
        <v>65</v>
      </c>
      <c r="AK191">
        <v>3.7</v>
      </c>
      <c r="AL191">
        <v>3</v>
      </c>
      <c r="AM191">
        <v>0</v>
      </c>
      <c r="AN191" s="1">
        <v>43473</v>
      </c>
      <c r="AO191">
        <v>0</v>
      </c>
      <c r="AP191">
        <v>14</v>
      </c>
    </row>
    <row r="192" spans="1:42">
      <c r="A192" t="s">
        <v>355</v>
      </c>
      <c r="B192" t="str">
        <f t="shared" si="6"/>
        <v>Peter</v>
      </c>
      <c r="C192" t="str">
        <f t="shared" si="7"/>
        <v>Monroe</v>
      </c>
      <c r="D192">
        <f t="shared" ca="1" si="8"/>
        <v>14</v>
      </c>
      <c r="E192" t="str" cm="1">
        <f t="array" ref="E192">_xlfn.IFS(P192&lt;40000, "Low", P192&lt;70000, "MID", P192&lt;100000, "HIGH", P192&gt;=100000, "Executive")</f>
        <v>Executive</v>
      </c>
      <c r="F192" t="str" cm="1">
        <f t="array" ref="F192">_xlfn.IFS(AJ192="Exceeds", "Top Performer", AJ192="Fully Meets", "Solid Performer", AJ192="Needs Improvement", "Underperformer", AJ192="PIP", "At Risk")</f>
        <v>Underperformer</v>
      </c>
      <c r="G192" t="str" cm="1">
        <f t="array" ref="G192">_xlfn.IFS(AE192="Active", "Retained", AE192="Voluntarily Terminated", "Voluntary Exit", AE192="Terminated for Cause", "Involuntary Exit")</f>
        <v>Retained</v>
      </c>
      <c r="H192">
        <v>10288</v>
      </c>
      <c r="I192">
        <v>1</v>
      </c>
      <c r="J192">
        <v>1</v>
      </c>
      <c r="K192">
        <v>1</v>
      </c>
      <c r="L192">
        <v>1</v>
      </c>
      <c r="M192">
        <v>3</v>
      </c>
      <c r="N192">
        <v>2</v>
      </c>
      <c r="O192">
        <v>1</v>
      </c>
      <c r="P192">
        <v>157000</v>
      </c>
      <c r="Q192">
        <v>0</v>
      </c>
      <c r="R192">
        <v>13</v>
      </c>
      <c r="S192" t="s">
        <v>356</v>
      </c>
      <c r="T192" t="s">
        <v>45</v>
      </c>
      <c r="U192">
        <v>2134</v>
      </c>
      <c r="V192" s="1">
        <v>31690</v>
      </c>
      <c r="W192" t="s">
        <v>46</v>
      </c>
      <c r="X192" t="s">
        <v>59</v>
      </c>
      <c r="Y192" t="s">
        <v>114</v>
      </c>
      <c r="Z192" t="s">
        <v>96</v>
      </c>
      <c r="AA192" t="s">
        <v>89</v>
      </c>
      <c r="AB192" s="1">
        <v>40954</v>
      </c>
      <c r="AD192" t="s">
        <v>51</v>
      </c>
      <c r="AE192" t="s">
        <v>52</v>
      </c>
      <c r="AF192" t="s">
        <v>62</v>
      </c>
      <c r="AG192" t="s">
        <v>154</v>
      </c>
      <c r="AH192">
        <v>5</v>
      </c>
      <c r="AI192" t="s">
        <v>91</v>
      </c>
      <c r="AJ192" t="s">
        <v>125</v>
      </c>
      <c r="AK192">
        <v>2.39</v>
      </c>
      <c r="AL192">
        <v>3</v>
      </c>
      <c r="AM192">
        <v>6</v>
      </c>
      <c r="AN192" s="1">
        <v>43518</v>
      </c>
      <c r="AO192">
        <v>4</v>
      </c>
      <c r="AP192">
        <v>13</v>
      </c>
    </row>
    <row r="193" spans="1:42">
      <c r="A193" t="s">
        <v>357</v>
      </c>
      <c r="B193" t="str">
        <f t="shared" si="6"/>
        <v>Luisa</v>
      </c>
      <c r="C193" t="str">
        <f t="shared" si="7"/>
        <v>Monterro</v>
      </c>
      <c r="D193">
        <f t="shared" ca="1" si="8"/>
        <v>12</v>
      </c>
      <c r="E193" t="str" cm="1">
        <f t="array" ref="E193">_xlfn.IFS(P193&lt;40000, "Low", P193&lt;70000, "MID", P193&lt;100000, "HIGH", P193&gt;=100000, "Executive")</f>
        <v>HIGH</v>
      </c>
      <c r="F193" t="str" cm="1">
        <f t="array" ref="F193">_xlfn.IFS(AJ193="Exceeds", "Top Performer", AJ193="Fully Meets", "Solid Performer", AJ193="Needs Improvement", "Underperformer", AJ193="PIP", "At Risk")</f>
        <v>Top Performer</v>
      </c>
      <c r="G193" t="str" cm="1">
        <f t="array" ref="G193">_xlfn.IFS(AE193="Active", "Retained", AE193="Voluntarily Terminated", "Voluntary Exit", AE193="Terminated for Cause", "Involuntary Exit")</f>
        <v>Retained</v>
      </c>
      <c r="H193">
        <v>10025</v>
      </c>
      <c r="I193">
        <v>0</v>
      </c>
      <c r="J193">
        <v>0</v>
      </c>
      <c r="K193">
        <v>0</v>
      </c>
      <c r="L193">
        <v>1</v>
      </c>
      <c r="M193">
        <v>5</v>
      </c>
      <c r="N193">
        <v>4</v>
      </c>
      <c r="O193">
        <v>0</v>
      </c>
      <c r="P193">
        <v>72460</v>
      </c>
      <c r="Q193">
        <v>0</v>
      </c>
      <c r="R193">
        <v>20</v>
      </c>
      <c r="S193" t="s">
        <v>67</v>
      </c>
      <c r="T193" t="s">
        <v>45</v>
      </c>
      <c r="U193">
        <v>2126</v>
      </c>
      <c r="V193" s="1">
        <v>25682</v>
      </c>
      <c r="W193" t="s">
        <v>68</v>
      </c>
      <c r="X193" t="s">
        <v>47</v>
      </c>
      <c r="Y193" t="s">
        <v>48</v>
      </c>
      <c r="Z193" t="s">
        <v>49</v>
      </c>
      <c r="AA193" t="s">
        <v>89</v>
      </c>
      <c r="AB193" s="1">
        <v>41407</v>
      </c>
      <c r="AD193" t="s">
        <v>51</v>
      </c>
      <c r="AE193" t="s">
        <v>52</v>
      </c>
      <c r="AF193" t="s">
        <v>53</v>
      </c>
      <c r="AG193" t="s">
        <v>70</v>
      </c>
      <c r="AH193">
        <v>20</v>
      </c>
      <c r="AI193" t="s">
        <v>64</v>
      </c>
      <c r="AJ193" t="s">
        <v>56</v>
      </c>
      <c r="AK193">
        <v>4.7</v>
      </c>
      <c r="AL193">
        <v>3</v>
      </c>
      <c r="AM193">
        <v>0</v>
      </c>
      <c r="AN193" s="1">
        <v>43479</v>
      </c>
      <c r="AO193">
        <v>0</v>
      </c>
      <c r="AP193">
        <v>1</v>
      </c>
    </row>
    <row r="194" spans="1:42">
      <c r="A194" t="s">
        <v>358</v>
      </c>
      <c r="B194" t="str">
        <f t="shared" si="6"/>
        <v>Patrick</v>
      </c>
      <c r="C194" t="str">
        <f t="shared" si="7"/>
        <v>Moran</v>
      </c>
      <c r="D194">
        <f t="shared" ca="1" si="8"/>
        <v>14</v>
      </c>
      <c r="E194" t="str" cm="1">
        <f t="array" ref="E194">_xlfn.IFS(P194&lt;40000, "Low", P194&lt;70000, "MID", P194&lt;100000, "HIGH", P194&gt;=100000, "Executive")</f>
        <v>HIGH</v>
      </c>
      <c r="F194" t="str" cm="1">
        <f t="array" ref="F194">_xlfn.IFS(AJ194="Exceeds", "Top Performer", AJ194="Fully Meets", "Solid Performer", AJ194="Needs Improvement", "Underperformer", AJ194="PIP", "At Risk")</f>
        <v>Solid Performer</v>
      </c>
      <c r="G194" t="str" cm="1">
        <f t="array" ref="G194">_xlfn.IFS(AE194="Active", "Retained", AE194="Voluntarily Terminated", "Voluntary Exit", AE194="Terminated for Cause", "Involuntary Exit")</f>
        <v>Retained</v>
      </c>
      <c r="H194">
        <v>10223</v>
      </c>
      <c r="I194">
        <v>0</v>
      </c>
      <c r="J194">
        <v>0</v>
      </c>
      <c r="K194">
        <v>1</v>
      </c>
      <c r="L194">
        <v>3</v>
      </c>
      <c r="M194">
        <v>5</v>
      </c>
      <c r="N194">
        <v>3</v>
      </c>
      <c r="O194">
        <v>1</v>
      </c>
      <c r="P194">
        <v>72106</v>
      </c>
      <c r="Q194">
        <v>0</v>
      </c>
      <c r="R194">
        <v>20</v>
      </c>
      <c r="S194" t="s">
        <v>67</v>
      </c>
      <c r="T194" t="s">
        <v>45</v>
      </c>
      <c r="U194">
        <v>2127</v>
      </c>
      <c r="V194" s="1">
        <v>28097</v>
      </c>
      <c r="W194" t="s">
        <v>46</v>
      </c>
      <c r="X194" t="s">
        <v>47</v>
      </c>
      <c r="Y194" t="s">
        <v>48</v>
      </c>
      <c r="Z194" t="s">
        <v>49</v>
      </c>
      <c r="AA194" t="s">
        <v>89</v>
      </c>
      <c r="AB194" s="1">
        <v>40917</v>
      </c>
      <c r="AD194" t="s">
        <v>51</v>
      </c>
      <c r="AE194" t="s">
        <v>52</v>
      </c>
      <c r="AF194" t="s">
        <v>53</v>
      </c>
      <c r="AG194" t="s">
        <v>106</v>
      </c>
      <c r="AH194">
        <v>18</v>
      </c>
      <c r="AI194" t="s">
        <v>91</v>
      </c>
      <c r="AJ194" t="s">
        <v>65</v>
      </c>
      <c r="AK194">
        <v>4.0999999999999996</v>
      </c>
      <c r="AL194">
        <v>4</v>
      </c>
      <c r="AM194">
        <v>0</v>
      </c>
      <c r="AN194" s="1">
        <v>43496</v>
      </c>
      <c r="AO194">
        <v>0</v>
      </c>
      <c r="AP194">
        <v>12</v>
      </c>
    </row>
    <row r="195" spans="1:42">
      <c r="A195" t="s">
        <v>359</v>
      </c>
      <c r="B195" t="str">
        <f t="shared" ref="B195:B258" si="9">TRIM(MID(A195, FIND(",", A195)+1, LEN(A195)))</f>
        <v>Tanya</v>
      </c>
      <c r="C195" t="str">
        <f t="shared" ref="C195:C258" si="10">TRIM(LEFT(A195, FIND(",", A195)-1))</f>
        <v>Morway</v>
      </c>
      <c r="D195">
        <f t="shared" ref="D195:D258" ca="1" si="11">IFERROR(DATEDIF(AB195, AC195, "Y"), DATEDIF(AB195, TODAY(), "Y"))</f>
        <v>11</v>
      </c>
      <c r="E195" t="str" cm="1">
        <f t="array" ref="E195">_xlfn.IFS(P195&lt;40000, "Low", P195&lt;70000, "MID", P195&lt;100000, "HIGH", P195&gt;=100000, "Executive")</f>
        <v>MID</v>
      </c>
      <c r="F195" t="str" cm="1">
        <f t="array" ref="F195">_xlfn.IFS(AJ195="Exceeds", "Top Performer", AJ195="Fully Meets", "Solid Performer", AJ195="Needs Improvement", "Underperformer", AJ195="PIP", "At Risk")</f>
        <v>Solid Performer</v>
      </c>
      <c r="G195" t="str" cm="1">
        <f t="array" ref="G195">_xlfn.IFS(AE195="Active", "Retained", AE195="Voluntarily Terminated", "Voluntary Exit", AE195="Terminated for Cause", "Involuntary Exit")</f>
        <v>Retained</v>
      </c>
      <c r="H195">
        <v>10151</v>
      </c>
      <c r="I195">
        <v>1</v>
      </c>
      <c r="J195">
        <v>1</v>
      </c>
      <c r="K195">
        <v>0</v>
      </c>
      <c r="L195">
        <v>1</v>
      </c>
      <c r="M195">
        <v>3</v>
      </c>
      <c r="N195">
        <v>3</v>
      </c>
      <c r="O195">
        <v>0</v>
      </c>
      <c r="P195">
        <v>52599</v>
      </c>
      <c r="Q195">
        <v>0</v>
      </c>
      <c r="R195">
        <v>15</v>
      </c>
      <c r="S195" t="s">
        <v>232</v>
      </c>
      <c r="T195" t="s">
        <v>45</v>
      </c>
      <c r="U195">
        <v>2048</v>
      </c>
      <c r="V195" s="1">
        <v>28949</v>
      </c>
      <c r="W195" t="s">
        <v>68</v>
      </c>
      <c r="X195" t="s">
        <v>59</v>
      </c>
      <c r="Y195" t="s">
        <v>48</v>
      </c>
      <c r="Z195" t="s">
        <v>49</v>
      </c>
      <c r="AA195" t="s">
        <v>50</v>
      </c>
      <c r="AB195" s="1">
        <v>42051</v>
      </c>
      <c r="AD195" t="s">
        <v>51</v>
      </c>
      <c r="AE195" t="s">
        <v>52</v>
      </c>
      <c r="AF195" t="s">
        <v>62</v>
      </c>
      <c r="AG195" t="s">
        <v>94</v>
      </c>
      <c r="AH195">
        <v>7</v>
      </c>
      <c r="AI195" t="s">
        <v>124</v>
      </c>
      <c r="AJ195" t="s">
        <v>65</v>
      </c>
      <c r="AK195">
        <v>3.81</v>
      </c>
      <c r="AL195">
        <v>3</v>
      </c>
      <c r="AM195">
        <v>6</v>
      </c>
      <c r="AN195" s="1">
        <v>43507</v>
      </c>
      <c r="AO195">
        <v>0</v>
      </c>
      <c r="AP195">
        <v>6</v>
      </c>
    </row>
    <row r="196" spans="1:42">
      <c r="A196" t="s">
        <v>360</v>
      </c>
      <c r="B196" t="str">
        <f t="shared" si="9"/>
        <v>Dawn</v>
      </c>
      <c r="C196" t="str">
        <f t="shared" si="10"/>
        <v>Motlagh</v>
      </c>
      <c r="D196">
        <f t="shared" ca="1" si="11"/>
        <v>13</v>
      </c>
      <c r="E196" t="str" cm="1">
        <f t="array" ref="E196">_xlfn.IFS(P196&lt;40000, "Low", P196&lt;70000, "MID", P196&lt;100000, "HIGH", P196&gt;=100000, "Executive")</f>
        <v>MID</v>
      </c>
      <c r="F196" t="str" cm="1">
        <f t="array" ref="F196">_xlfn.IFS(AJ196="Exceeds", "Top Performer", AJ196="Fully Meets", "Solid Performer", AJ196="Needs Improvement", "Underperformer", AJ196="PIP", "At Risk")</f>
        <v>Solid Performer</v>
      </c>
      <c r="G196" t="str" cm="1">
        <f t="array" ref="G196">_xlfn.IFS(AE196="Active", "Retained", AE196="Voluntarily Terminated", "Voluntary Exit", AE196="Terminated for Cause", "Involuntary Exit")</f>
        <v>Retained</v>
      </c>
      <c r="H196">
        <v>10254</v>
      </c>
      <c r="I196">
        <v>0</v>
      </c>
      <c r="J196">
        <v>2</v>
      </c>
      <c r="K196">
        <v>0</v>
      </c>
      <c r="L196">
        <v>1</v>
      </c>
      <c r="M196">
        <v>5</v>
      </c>
      <c r="N196">
        <v>3</v>
      </c>
      <c r="O196">
        <v>0</v>
      </c>
      <c r="P196">
        <v>63430</v>
      </c>
      <c r="Q196">
        <v>0</v>
      </c>
      <c r="R196">
        <v>19</v>
      </c>
      <c r="S196" t="s">
        <v>44</v>
      </c>
      <c r="T196" t="s">
        <v>45</v>
      </c>
      <c r="U196">
        <v>2453</v>
      </c>
      <c r="V196" s="1">
        <v>30870</v>
      </c>
      <c r="W196" t="s">
        <v>68</v>
      </c>
      <c r="X196" t="s">
        <v>74</v>
      </c>
      <c r="Y196" t="s">
        <v>48</v>
      </c>
      <c r="Z196" t="s">
        <v>49</v>
      </c>
      <c r="AA196" t="s">
        <v>50</v>
      </c>
      <c r="AB196" s="1">
        <v>41365</v>
      </c>
      <c r="AD196" t="s">
        <v>51</v>
      </c>
      <c r="AE196" t="s">
        <v>52</v>
      </c>
      <c r="AF196" t="s">
        <v>53</v>
      </c>
      <c r="AG196" t="s">
        <v>72</v>
      </c>
      <c r="AH196">
        <v>16</v>
      </c>
      <c r="AI196" t="s">
        <v>55</v>
      </c>
      <c r="AJ196" t="s">
        <v>65</v>
      </c>
      <c r="AK196">
        <v>4.4000000000000004</v>
      </c>
      <c r="AL196">
        <v>4</v>
      </c>
      <c r="AM196">
        <v>0</v>
      </c>
      <c r="AN196" s="1">
        <v>43482</v>
      </c>
      <c r="AO196">
        <v>0</v>
      </c>
      <c r="AP196">
        <v>18</v>
      </c>
    </row>
    <row r="197" spans="1:42">
      <c r="A197" t="s">
        <v>361</v>
      </c>
      <c r="B197" t="str">
        <f t="shared" si="9"/>
        <v>Maliki</v>
      </c>
      <c r="C197" t="str">
        <f t="shared" si="10"/>
        <v>Moumanil</v>
      </c>
      <c r="D197">
        <f t="shared" ca="1" si="11"/>
        <v>12</v>
      </c>
      <c r="E197" t="str" cm="1">
        <f t="array" ref="E197">_xlfn.IFS(P197&lt;40000, "Low", P197&lt;70000, "MID", P197&lt;100000, "HIGH", P197&gt;=100000, "Executive")</f>
        <v>HIGH</v>
      </c>
      <c r="F197" t="str" cm="1">
        <f t="array" ref="F197">_xlfn.IFS(AJ197="Exceeds", "Top Performer", AJ197="Fully Meets", "Solid Performer", AJ197="Needs Improvement", "Underperformer", AJ197="PIP", "At Risk")</f>
        <v>Solid Performer</v>
      </c>
      <c r="G197" t="str" cm="1">
        <f t="array" ref="G197">_xlfn.IFS(AE197="Active", "Retained", AE197="Voluntarily Terminated", "Voluntary Exit", AE197="Terminated for Cause", "Involuntary Exit")</f>
        <v>Retained</v>
      </c>
      <c r="H197">
        <v>10120</v>
      </c>
      <c r="I197">
        <v>0</v>
      </c>
      <c r="J197">
        <v>3</v>
      </c>
      <c r="K197">
        <v>1</v>
      </c>
      <c r="L197">
        <v>1</v>
      </c>
      <c r="M197">
        <v>5</v>
      </c>
      <c r="N197">
        <v>3</v>
      </c>
      <c r="O197">
        <v>0</v>
      </c>
      <c r="P197">
        <v>74417</v>
      </c>
      <c r="Q197">
        <v>0</v>
      </c>
      <c r="R197">
        <v>20</v>
      </c>
      <c r="S197" t="s">
        <v>67</v>
      </c>
      <c r="T197" t="s">
        <v>45</v>
      </c>
      <c r="U197">
        <v>1460</v>
      </c>
      <c r="V197" s="1">
        <v>27364</v>
      </c>
      <c r="W197" t="s">
        <v>46</v>
      </c>
      <c r="X197" t="s">
        <v>144</v>
      </c>
      <c r="Y197" t="s">
        <v>48</v>
      </c>
      <c r="Z197" t="s">
        <v>49</v>
      </c>
      <c r="AA197" t="s">
        <v>89</v>
      </c>
      <c r="AB197" s="1">
        <v>41407</v>
      </c>
      <c r="AD197" t="s">
        <v>51</v>
      </c>
      <c r="AE197" t="s">
        <v>52</v>
      </c>
      <c r="AF197" t="s">
        <v>53</v>
      </c>
      <c r="AG197" t="s">
        <v>54</v>
      </c>
      <c r="AH197">
        <v>22</v>
      </c>
      <c r="AI197" t="s">
        <v>55</v>
      </c>
      <c r="AJ197" t="s">
        <v>65</v>
      </c>
      <c r="AK197">
        <v>4.29</v>
      </c>
      <c r="AL197">
        <v>5</v>
      </c>
      <c r="AM197">
        <v>0</v>
      </c>
      <c r="AN197" s="1">
        <v>43493</v>
      </c>
      <c r="AO197">
        <v>0</v>
      </c>
      <c r="AP197">
        <v>11</v>
      </c>
    </row>
    <row r="198" spans="1:42">
      <c r="A198" t="s">
        <v>362</v>
      </c>
      <c r="B198" t="str">
        <f t="shared" si="9"/>
        <v>Michael</v>
      </c>
      <c r="C198" t="str">
        <f t="shared" si="10"/>
        <v>Myers</v>
      </c>
      <c r="D198">
        <f t="shared" ca="1" si="11"/>
        <v>12</v>
      </c>
      <c r="E198" t="str" cm="1">
        <f t="array" ref="E198">_xlfn.IFS(P198&lt;40000, "Low", P198&lt;70000, "MID", P198&lt;100000, "HIGH", P198&gt;=100000, "Executive")</f>
        <v>MID</v>
      </c>
      <c r="F198" t="str" cm="1">
        <f t="array" ref="F198">_xlfn.IFS(AJ198="Exceeds", "Top Performer", AJ198="Fully Meets", "Solid Performer", AJ198="Needs Improvement", "Underperformer", AJ198="PIP", "At Risk")</f>
        <v>Solid Performer</v>
      </c>
      <c r="G198" t="str" cm="1">
        <f t="array" ref="G198">_xlfn.IFS(AE198="Active", "Retained", AE198="Voluntarily Terminated", "Voluntary Exit", AE198="Terminated for Cause", "Involuntary Exit")</f>
        <v>Retained</v>
      </c>
      <c r="H198">
        <v>10216</v>
      </c>
      <c r="I198">
        <v>0</v>
      </c>
      <c r="J198">
        <v>0</v>
      </c>
      <c r="K198">
        <v>1</v>
      </c>
      <c r="L198">
        <v>1</v>
      </c>
      <c r="M198">
        <v>5</v>
      </c>
      <c r="N198">
        <v>3</v>
      </c>
      <c r="O198">
        <v>0</v>
      </c>
      <c r="P198">
        <v>57575</v>
      </c>
      <c r="Q198">
        <v>0</v>
      </c>
      <c r="R198">
        <v>19</v>
      </c>
      <c r="S198" t="s">
        <v>44</v>
      </c>
      <c r="T198" t="s">
        <v>45</v>
      </c>
      <c r="U198">
        <v>1550</v>
      </c>
      <c r="V198" s="1">
        <v>29329</v>
      </c>
      <c r="W198" t="s">
        <v>46</v>
      </c>
      <c r="X198" t="s">
        <v>47</v>
      </c>
      <c r="Y198" t="s">
        <v>48</v>
      </c>
      <c r="Z198" t="s">
        <v>49</v>
      </c>
      <c r="AA198" t="s">
        <v>119</v>
      </c>
      <c r="AB198" s="1">
        <v>41463</v>
      </c>
      <c r="AD198" t="s">
        <v>51</v>
      </c>
      <c r="AE198" t="s">
        <v>52</v>
      </c>
      <c r="AF198" t="s">
        <v>53</v>
      </c>
      <c r="AG198" t="s">
        <v>70</v>
      </c>
      <c r="AH198">
        <v>20</v>
      </c>
      <c r="AI198" t="s">
        <v>55</v>
      </c>
      <c r="AJ198" t="s">
        <v>65</v>
      </c>
      <c r="AK198">
        <v>4.0999999999999996</v>
      </c>
      <c r="AL198">
        <v>4</v>
      </c>
      <c r="AM198">
        <v>0</v>
      </c>
      <c r="AN198" s="1">
        <v>43487</v>
      </c>
      <c r="AO198">
        <v>0</v>
      </c>
      <c r="AP198">
        <v>13</v>
      </c>
    </row>
    <row r="199" spans="1:42">
      <c r="A199" t="s">
        <v>363</v>
      </c>
      <c r="B199" t="str">
        <f t="shared" si="9"/>
        <v>Kurt</v>
      </c>
      <c r="C199" t="str">
        <f t="shared" si="10"/>
        <v>Navathe</v>
      </c>
      <c r="D199">
        <f t="shared" ca="1" si="11"/>
        <v>9</v>
      </c>
      <c r="E199" t="str" cm="1">
        <f t="array" ref="E199">_xlfn.IFS(P199&lt;40000, "Low", P199&lt;70000, "MID", P199&lt;100000, "HIGH", P199&gt;=100000, "Executive")</f>
        <v>HIGH</v>
      </c>
      <c r="F199" t="str" cm="1">
        <f t="array" ref="F199">_xlfn.IFS(AJ199="Exceeds", "Top Performer", AJ199="Fully Meets", "Solid Performer", AJ199="Needs Improvement", "Underperformer", AJ199="PIP", "At Risk")</f>
        <v>Solid Performer</v>
      </c>
      <c r="G199" t="str" cm="1">
        <f t="array" ref="G199">_xlfn.IFS(AE199="Active", "Retained", AE199="Voluntarily Terminated", "Voluntary Exit", AE199="Terminated for Cause", "Involuntary Exit")</f>
        <v>Retained</v>
      </c>
      <c r="H199">
        <v>10079</v>
      </c>
      <c r="I199">
        <v>0</v>
      </c>
      <c r="J199">
        <v>0</v>
      </c>
      <c r="K199">
        <v>1</v>
      </c>
      <c r="L199">
        <v>1</v>
      </c>
      <c r="M199">
        <v>3</v>
      </c>
      <c r="N199">
        <v>3</v>
      </c>
      <c r="O199">
        <v>0</v>
      </c>
      <c r="P199">
        <v>87921</v>
      </c>
      <c r="Q199">
        <v>0</v>
      </c>
      <c r="R199">
        <v>22</v>
      </c>
      <c r="S199" t="s">
        <v>323</v>
      </c>
      <c r="T199" t="s">
        <v>45</v>
      </c>
      <c r="U199">
        <v>2056</v>
      </c>
      <c r="V199" s="1">
        <v>25683</v>
      </c>
      <c r="W199" t="s">
        <v>46</v>
      </c>
      <c r="X199" t="s">
        <v>47</v>
      </c>
      <c r="Y199" t="s">
        <v>48</v>
      </c>
      <c r="Z199" t="s">
        <v>49</v>
      </c>
      <c r="AA199" t="s">
        <v>119</v>
      </c>
      <c r="AB199" s="1">
        <v>42776</v>
      </c>
      <c r="AD199" t="s">
        <v>51</v>
      </c>
      <c r="AE199" t="s">
        <v>52</v>
      </c>
      <c r="AF199" t="s">
        <v>62</v>
      </c>
      <c r="AG199" t="s">
        <v>204</v>
      </c>
      <c r="AH199">
        <v>13</v>
      </c>
      <c r="AI199" t="s">
        <v>64</v>
      </c>
      <c r="AJ199" t="s">
        <v>65</v>
      </c>
      <c r="AK199">
        <v>5</v>
      </c>
      <c r="AL199">
        <v>3</v>
      </c>
      <c r="AM199">
        <v>6</v>
      </c>
      <c r="AN199" s="1">
        <v>43521</v>
      </c>
      <c r="AO199">
        <v>0</v>
      </c>
      <c r="AP199">
        <v>17</v>
      </c>
    </row>
    <row r="200" spans="1:42">
      <c r="A200" t="s">
        <v>364</v>
      </c>
      <c r="B200" t="str">
        <f t="shared" si="9"/>
        <v>Colombui</v>
      </c>
      <c r="C200" t="str">
        <f t="shared" si="10"/>
        <v>Ndzi</v>
      </c>
      <c r="D200">
        <f t="shared" ca="1" si="11"/>
        <v>2</v>
      </c>
      <c r="E200" t="str" cm="1">
        <f t="array" ref="E200">_xlfn.IFS(P200&lt;40000, "Low", P200&lt;70000, "MID", P200&lt;100000, "HIGH", P200&gt;=100000, "Executive")</f>
        <v>MID</v>
      </c>
      <c r="F200" t="str" cm="1">
        <f t="array" ref="F200">_xlfn.IFS(AJ200="Exceeds", "Top Performer", AJ200="Fully Meets", "Solid Performer", AJ200="Needs Improvement", "Underperformer", AJ200="PIP", "At Risk")</f>
        <v>Solid Performer</v>
      </c>
      <c r="G200" t="str" cm="1">
        <f t="array" ref="G200">_xlfn.IFS(AE200="Active", "Retained", AE200="Voluntarily Terminated", "Voluntary Exit", AE200="Terminated for Cause", "Involuntary Exit")</f>
        <v>Voluntary Exit</v>
      </c>
      <c r="H200">
        <v>10215</v>
      </c>
      <c r="I200">
        <v>0</v>
      </c>
      <c r="J200">
        <v>0</v>
      </c>
      <c r="K200">
        <v>1</v>
      </c>
      <c r="L200">
        <v>5</v>
      </c>
      <c r="M200">
        <v>5</v>
      </c>
      <c r="N200">
        <v>3</v>
      </c>
      <c r="O200">
        <v>1</v>
      </c>
      <c r="P200">
        <v>50470</v>
      </c>
      <c r="Q200">
        <v>1</v>
      </c>
      <c r="R200">
        <v>19</v>
      </c>
      <c r="S200" t="s">
        <v>44</v>
      </c>
      <c r="T200" t="s">
        <v>45</v>
      </c>
      <c r="U200">
        <v>2110</v>
      </c>
      <c r="V200" s="1">
        <v>32630</v>
      </c>
      <c r="W200" t="s">
        <v>46</v>
      </c>
      <c r="X200" t="s">
        <v>47</v>
      </c>
      <c r="Y200" t="s">
        <v>48</v>
      </c>
      <c r="Z200" t="s">
        <v>49</v>
      </c>
      <c r="AA200" t="s">
        <v>89</v>
      </c>
      <c r="AB200" s="1">
        <v>40812</v>
      </c>
      <c r="AC200" s="1">
        <v>41733</v>
      </c>
      <c r="AD200" t="s">
        <v>75</v>
      </c>
      <c r="AE200" t="s">
        <v>61</v>
      </c>
      <c r="AF200" t="s">
        <v>53</v>
      </c>
      <c r="AG200" t="s">
        <v>76</v>
      </c>
      <c r="AH200">
        <v>39</v>
      </c>
      <c r="AI200" t="s">
        <v>91</v>
      </c>
      <c r="AJ200" t="s">
        <v>65</v>
      </c>
      <c r="AK200">
        <v>4.3</v>
      </c>
      <c r="AL200">
        <v>3</v>
      </c>
      <c r="AM200">
        <v>0</v>
      </c>
      <c r="AN200" s="1">
        <v>41335</v>
      </c>
      <c r="AO200">
        <v>0</v>
      </c>
      <c r="AP200">
        <v>19</v>
      </c>
    </row>
    <row r="201" spans="1:42">
      <c r="A201" t="s">
        <v>365</v>
      </c>
      <c r="B201" t="str">
        <f t="shared" si="9"/>
        <v>Horia</v>
      </c>
      <c r="C201" t="str">
        <f t="shared" si="10"/>
        <v>Ndzi</v>
      </c>
      <c r="D201">
        <f t="shared" ca="1" si="11"/>
        <v>3</v>
      </c>
      <c r="E201" t="str" cm="1">
        <f t="array" ref="E201">_xlfn.IFS(P201&lt;40000, "Low", P201&lt;70000, "MID", P201&lt;100000, "HIGH", P201&gt;=100000, "Executive")</f>
        <v>MID</v>
      </c>
      <c r="F201" t="str" cm="1">
        <f t="array" ref="F201">_xlfn.IFS(AJ201="Exceeds", "Top Performer", AJ201="Fully Meets", "Solid Performer", AJ201="Needs Improvement", "Underperformer", AJ201="PIP", "At Risk")</f>
        <v>Solid Performer</v>
      </c>
      <c r="G201" t="str" cm="1">
        <f t="array" ref="G201">_xlfn.IFS(AE201="Active", "Retained", AE201="Voluntarily Terminated", "Voluntary Exit", AE201="Terminated for Cause", "Involuntary Exit")</f>
        <v>Voluntary Exit</v>
      </c>
      <c r="H201">
        <v>10185</v>
      </c>
      <c r="I201">
        <v>1</v>
      </c>
      <c r="J201">
        <v>1</v>
      </c>
      <c r="K201">
        <v>1</v>
      </c>
      <c r="L201">
        <v>5</v>
      </c>
      <c r="M201">
        <v>5</v>
      </c>
      <c r="N201">
        <v>3</v>
      </c>
      <c r="O201">
        <v>0</v>
      </c>
      <c r="P201">
        <v>46664</v>
      </c>
      <c r="Q201">
        <v>1</v>
      </c>
      <c r="R201">
        <v>19</v>
      </c>
      <c r="S201" t="s">
        <v>44</v>
      </c>
      <c r="T201" t="s">
        <v>45</v>
      </c>
      <c r="U201">
        <v>2421</v>
      </c>
      <c r="V201" s="1">
        <v>30403</v>
      </c>
      <c r="W201" t="s">
        <v>46</v>
      </c>
      <c r="X201" t="s">
        <v>59</v>
      </c>
      <c r="Y201" t="s">
        <v>48</v>
      </c>
      <c r="Z201" t="s">
        <v>49</v>
      </c>
      <c r="AA201" t="s">
        <v>50</v>
      </c>
      <c r="AB201" s="1">
        <v>41365</v>
      </c>
      <c r="AC201" s="1">
        <v>42515</v>
      </c>
      <c r="AD201" t="s">
        <v>200</v>
      </c>
      <c r="AE201" t="s">
        <v>61</v>
      </c>
      <c r="AF201" t="s">
        <v>53</v>
      </c>
      <c r="AG201" t="s">
        <v>79</v>
      </c>
      <c r="AH201">
        <v>11</v>
      </c>
      <c r="AI201" t="s">
        <v>87</v>
      </c>
      <c r="AJ201" t="s">
        <v>65</v>
      </c>
      <c r="AK201">
        <v>3.18</v>
      </c>
      <c r="AL201">
        <v>3</v>
      </c>
      <c r="AM201">
        <v>0</v>
      </c>
      <c r="AN201" s="1">
        <v>42435</v>
      </c>
      <c r="AO201">
        <v>0</v>
      </c>
      <c r="AP201">
        <v>10</v>
      </c>
    </row>
    <row r="202" spans="1:42">
      <c r="A202" t="s">
        <v>366</v>
      </c>
      <c r="B202" t="str">
        <f t="shared" si="9"/>
        <v>Richard</v>
      </c>
      <c r="C202" t="str">
        <f t="shared" si="10"/>
        <v>Newman</v>
      </c>
      <c r="D202">
        <f t="shared" ca="1" si="11"/>
        <v>11</v>
      </c>
      <c r="E202" t="str" cm="1">
        <f t="array" ref="E202">_xlfn.IFS(P202&lt;40000, "Low", P202&lt;70000, "MID", P202&lt;100000, "HIGH", P202&gt;=100000, "Executive")</f>
        <v>MID</v>
      </c>
      <c r="F202" t="str" cm="1">
        <f t="array" ref="F202">_xlfn.IFS(AJ202="Exceeds", "Top Performer", AJ202="Fully Meets", "Solid Performer", AJ202="Needs Improvement", "Underperformer", AJ202="PIP", "At Risk")</f>
        <v>Solid Performer</v>
      </c>
      <c r="G202" t="str" cm="1">
        <f t="array" ref="G202">_xlfn.IFS(AE202="Active", "Retained", AE202="Voluntarily Terminated", "Voluntary Exit", AE202="Terminated for Cause", "Involuntary Exit")</f>
        <v>Retained</v>
      </c>
      <c r="H202">
        <v>10063</v>
      </c>
      <c r="I202">
        <v>1</v>
      </c>
      <c r="J202">
        <v>1</v>
      </c>
      <c r="K202">
        <v>1</v>
      </c>
      <c r="L202">
        <v>3</v>
      </c>
      <c r="M202">
        <v>5</v>
      </c>
      <c r="N202">
        <v>3</v>
      </c>
      <c r="O202">
        <v>0</v>
      </c>
      <c r="P202">
        <v>48495</v>
      </c>
      <c r="Q202">
        <v>0</v>
      </c>
      <c r="R202">
        <v>19</v>
      </c>
      <c r="S202" t="s">
        <v>44</v>
      </c>
      <c r="T202" t="s">
        <v>45</v>
      </c>
      <c r="U202">
        <v>2136</v>
      </c>
      <c r="V202" s="1">
        <v>28223</v>
      </c>
      <c r="W202" t="s">
        <v>46</v>
      </c>
      <c r="X202" t="s">
        <v>59</v>
      </c>
      <c r="Y202" t="s">
        <v>48</v>
      </c>
      <c r="Z202" t="s">
        <v>49</v>
      </c>
      <c r="AA202" t="s">
        <v>50</v>
      </c>
      <c r="AB202" s="1">
        <v>41771</v>
      </c>
      <c r="AD202" t="s">
        <v>51</v>
      </c>
      <c r="AE202" t="s">
        <v>52</v>
      </c>
      <c r="AF202" t="s">
        <v>53</v>
      </c>
      <c r="AG202" t="s">
        <v>86</v>
      </c>
      <c r="AH202">
        <v>19</v>
      </c>
      <c r="AI202" t="s">
        <v>55</v>
      </c>
      <c r="AJ202" t="s">
        <v>65</v>
      </c>
      <c r="AK202">
        <v>5</v>
      </c>
      <c r="AL202">
        <v>5</v>
      </c>
      <c r="AM202">
        <v>0</v>
      </c>
      <c r="AN202" s="1">
        <v>43514</v>
      </c>
      <c r="AO202">
        <v>0</v>
      </c>
      <c r="AP202">
        <v>11</v>
      </c>
    </row>
    <row r="203" spans="1:42">
      <c r="A203" t="s">
        <v>367</v>
      </c>
      <c r="B203" t="str">
        <f t="shared" si="9"/>
        <v>Shari</v>
      </c>
      <c r="C203" t="str">
        <f t="shared" si="10"/>
        <v>Ngodup</v>
      </c>
      <c r="D203">
        <f t="shared" ca="1" si="11"/>
        <v>13</v>
      </c>
      <c r="E203" t="str" cm="1">
        <f t="array" ref="E203">_xlfn.IFS(P203&lt;40000, "Low", P203&lt;70000, "MID", P203&lt;100000, "HIGH", P203&gt;=100000, "Executive")</f>
        <v>MID</v>
      </c>
      <c r="F203" t="str" cm="1">
        <f t="array" ref="F203">_xlfn.IFS(AJ203="Exceeds", "Top Performer", AJ203="Fully Meets", "Solid Performer", AJ203="Needs Improvement", "Underperformer", AJ203="PIP", "At Risk")</f>
        <v>Top Performer</v>
      </c>
      <c r="G203" t="str" cm="1">
        <f t="array" ref="G203">_xlfn.IFS(AE203="Active", "Retained", AE203="Voluntarily Terminated", "Voluntary Exit", AE203="Terminated for Cause", "Involuntary Exit")</f>
        <v>Retained</v>
      </c>
      <c r="H203">
        <v>10037</v>
      </c>
      <c r="I203">
        <v>0</v>
      </c>
      <c r="J203">
        <v>3</v>
      </c>
      <c r="K203">
        <v>0</v>
      </c>
      <c r="L203">
        <v>1</v>
      </c>
      <c r="M203">
        <v>5</v>
      </c>
      <c r="N203">
        <v>4</v>
      </c>
      <c r="O203">
        <v>1</v>
      </c>
      <c r="P203">
        <v>52984</v>
      </c>
      <c r="Q203">
        <v>0</v>
      </c>
      <c r="R203">
        <v>19</v>
      </c>
      <c r="S203" t="s">
        <v>44</v>
      </c>
      <c r="T203" t="s">
        <v>45</v>
      </c>
      <c r="U203">
        <v>1810</v>
      </c>
      <c r="V203" s="1">
        <v>24626</v>
      </c>
      <c r="W203" t="s">
        <v>68</v>
      </c>
      <c r="X203" t="s">
        <v>144</v>
      </c>
      <c r="Y203" t="s">
        <v>48</v>
      </c>
      <c r="Z203" t="s">
        <v>49</v>
      </c>
      <c r="AA203" t="s">
        <v>89</v>
      </c>
      <c r="AB203" s="1">
        <v>41365</v>
      </c>
      <c r="AD203" t="s">
        <v>51</v>
      </c>
      <c r="AE203" t="s">
        <v>52</v>
      </c>
      <c r="AF203" t="s">
        <v>53</v>
      </c>
      <c r="AG203" t="s">
        <v>90</v>
      </c>
      <c r="AH203">
        <v>12</v>
      </c>
      <c r="AI203" t="s">
        <v>91</v>
      </c>
      <c r="AJ203" t="s">
        <v>56</v>
      </c>
      <c r="AK203">
        <v>4</v>
      </c>
      <c r="AL203">
        <v>3</v>
      </c>
      <c r="AM203">
        <v>0</v>
      </c>
      <c r="AN203" s="1">
        <v>43509</v>
      </c>
      <c r="AO203">
        <v>0</v>
      </c>
      <c r="AP203">
        <v>12</v>
      </c>
    </row>
    <row r="204" spans="1:42">
      <c r="A204" t="s">
        <v>368</v>
      </c>
      <c r="B204" t="str">
        <f t="shared" si="9"/>
        <v>Dheepa</v>
      </c>
      <c r="C204" t="str">
        <f t="shared" si="10"/>
        <v>Nguyen</v>
      </c>
      <c r="D204">
        <f t="shared" ca="1" si="11"/>
        <v>12</v>
      </c>
      <c r="E204" t="str" cm="1">
        <f t="array" ref="E204">_xlfn.IFS(P204&lt;40000, "Low", P204&lt;70000, "MID", P204&lt;100000, "HIGH", P204&gt;=100000, "Executive")</f>
        <v>MID</v>
      </c>
      <c r="F204" t="str" cm="1">
        <f t="array" ref="F204">_xlfn.IFS(AJ204="Exceeds", "Top Performer", AJ204="Fully Meets", "Solid Performer", AJ204="Needs Improvement", "Underperformer", AJ204="PIP", "At Risk")</f>
        <v>Solid Performer</v>
      </c>
      <c r="G204" t="str" cm="1">
        <f t="array" ref="G204">_xlfn.IFS(AE204="Active", "Retained", AE204="Voluntarily Terminated", "Voluntary Exit", AE204="Terminated for Cause", "Involuntary Exit")</f>
        <v>Retained</v>
      </c>
      <c r="H204">
        <v>10042</v>
      </c>
      <c r="I204">
        <v>0</v>
      </c>
      <c r="J204">
        <v>0</v>
      </c>
      <c r="K204">
        <v>0</v>
      </c>
      <c r="L204">
        <v>1</v>
      </c>
      <c r="M204">
        <v>6</v>
      </c>
      <c r="N204">
        <v>3</v>
      </c>
      <c r="O204">
        <v>0</v>
      </c>
      <c r="P204">
        <v>63695</v>
      </c>
      <c r="Q204">
        <v>0</v>
      </c>
      <c r="R204">
        <v>3</v>
      </c>
      <c r="S204" t="s">
        <v>146</v>
      </c>
      <c r="T204" t="s">
        <v>369</v>
      </c>
      <c r="U204">
        <v>30428</v>
      </c>
      <c r="V204" s="1">
        <v>32598</v>
      </c>
      <c r="W204" t="s">
        <v>68</v>
      </c>
      <c r="X204" t="s">
        <v>47</v>
      </c>
      <c r="Y204" t="s">
        <v>48</v>
      </c>
      <c r="Z204" t="s">
        <v>49</v>
      </c>
      <c r="AA204" t="s">
        <v>105</v>
      </c>
      <c r="AB204" s="1">
        <v>41463</v>
      </c>
      <c r="AD204" t="s">
        <v>51</v>
      </c>
      <c r="AE204" t="s">
        <v>52</v>
      </c>
      <c r="AF204" t="s">
        <v>148</v>
      </c>
      <c r="AG204" t="s">
        <v>167</v>
      </c>
      <c r="AH204">
        <v>21</v>
      </c>
      <c r="AI204" t="s">
        <v>64</v>
      </c>
      <c r="AJ204" t="s">
        <v>65</v>
      </c>
      <c r="AK204">
        <v>5</v>
      </c>
      <c r="AL204">
        <v>5</v>
      </c>
      <c r="AM204">
        <v>0</v>
      </c>
      <c r="AN204" s="1">
        <v>43490</v>
      </c>
      <c r="AO204">
        <v>0</v>
      </c>
      <c r="AP204">
        <v>2</v>
      </c>
    </row>
    <row r="205" spans="1:42">
      <c r="A205" t="s">
        <v>370</v>
      </c>
      <c r="B205" t="str">
        <f t="shared" si="9"/>
        <v>Lei-Ming</v>
      </c>
      <c r="C205" t="str">
        <f t="shared" si="10"/>
        <v>Nguyen</v>
      </c>
      <c r="D205">
        <f t="shared" ca="1" si="11"/>
        <v>12</v>
      </c>
      <c r="E205" t="str" cm="1">
        <f t="array" ref="E205">_xlfn.IFS(P205&lt;40000, "Low", P205&lt;70000, "MID", P205&lt;100000, "HIGH", P205&gt;=100000, "Executive")</f>
        <v>MID</v>
      </c>
      <c r="F205" t="str" cm="1">
        <f t="array" ref="F205">_xlfn.IFS(AJ205="Exceeds", "Top Performer", AJ205="Fully Meets", "Solid Performer", AJ205="Needs Improvement", "Underperformer", AJ205="PIP", "At Risk")</f>
        <v>Solid Performer</v>
      </c>
      <c r="G205" t="str" cm="1">
        <f t="array" ref="G205">_xlfn.IFS(AE205="Active", "Retained", AE205="Voluntarily Terminated", "Voluntary Exit", AE205="Terminated for Cause", "Involuntary Exit")</f>
        <v>Retained</v>
      </c>
      <c r="H205">
        <v>10206</v>
      </c>
      <c r="I205">
        <v>0</v>
      </c>
      <c r="J205">
        <v>0</v>
      </c>
      <c r="K205">
        <v>0</v>
      </c>
      <c r="L205">
        <v>1</v>
      </c>
      <c r="M205">
        <v>5</v>
      </c>
      <c r="N205">
        <v>3</v>
      </c>
      <c r="O205">
        <v>0</v>
      </c>
      <c r="P205">
        <v>62061</v>
      </c>
      <c r="Q205">
        <v>0</v>
      </c>
      <c r="R205">
        <v>19</v>
      </c>
      <c r="S205" t="s">
        <v>44</v>
      </c>
      <c r="T205" t="s">
        <v>45</v>
      </c>
      <c r="U205">
        <v>2132</v>
      </c>
      <c r="V205" s="1">
        <v>30870</v>
      </c>
      <c r="W205" t="s">
        <v>68</v>
      </c>
      <c r="X205" t="s">
        <v>47</v>
      </c>
      <c r="Y205" t="s">
        <v>48</v>
      </c>
      <c r="Z205" t="s">
        <v>49</v>
      </c>
      <c r="AA205" t="s">
        <v>50</v>
      </c>
      <c r="AB205" s="1">
        <v>41463</v>
      </c>
      <c r="AD205" t="s">
        <v>51</v>
      </c>
      <c r="AE205" t="s">
        <v>52</v>
      </c>
      <c r="AF205" t="s">
        <v>53</v>
      </c>
      <c r="AG205" t="s">
        <v>98</v>
      </c>
      <c r="AH205">
        <v>14</v>
      </c>
      <c r="AI205" t="s">
        <v>55</v>
      </c>
      <c r="AJ205" t="s">
        <v>65</v>
      </c>
      <c r="AK205">
        <v>3.6</v>
      </c>
      <c r="AL205">
        <v>5</v>
      </c>
      <c r="AM205">
        <v>0</v>
      </c>
      <c r="AN205" s="1">
        <v>43467</v>
      </c>
      <c r="AO205">
        <v>0</v>
      </c>
      <c r="AP205">
        <v>4</v>
      </c>
    </row>
    <row r="206" spans="1:42">
      <c r="A206" t="s">
        <v>371</v>
      </c>
      <c r="B206" t="str">
        <f t="shared" si="9"/>
        <v>Kristie</v>
      </c>
      <c r="C206" t="str">
        <f t="shared" si="10"/>
        <v>Nowlan</v>
      </c>
      <c r="D206">
        <f t="shared" ca="1" si="11"/>
        <v>11</v>
      </c>
      <c r="E206" t="str" cm="1">
        <f t="array" ref="E206">_xlfn.IFS(P206&lt;40000, "Low", P206&lt;70000, "MID", P206&lt;100000, "HIGH", P206&gt;=100000, "Executive")</f>
        <v>MID</v>
      </c>
      <c r="F206" t="str" cm="1">
        <f t="array" ref="F206">_xlfn.IFS(AJ206="Exceeds", "Top Performer", AJ206="Fully Meets", "Solid Performer", AJ206="Needs Improvement", "Underperformer", AJ206="PIP", "At Risk")</f>
        <v>Solid Performer</v>
      </c>
      <c r="G206" t="str" cm="1">
        <f t="array" ref="G206">_xlfn.IFS(AE206="Active", "Retained", AE206="Voluntarily Terminated", "Voluntary Exit", AE206="Terminated for Cause", "Involuntary Exit")</f>
        <v>Retained</v>
      </c>
      <c r="H206">
        <v>10104</v>
      </c>
      <c r="I206">
        <v>0</v>
      </c>
      <c r="J206">
        <v>0</v>
      </c>
      <c r="K206">
        <v>0</v>
      </c>
      <c r="L206">
        <v>1</v>
      </c>
      <c r="M206">
        <v>5</v>
      </c>
      <c r="N206">
        <v>3</v>
      </c>
      <c r="O206">
        <v>0</v>
      </c>
      <c r="P206">
        <v>66738</v>
      </c>
      <c r="Q206">
        <v>0</v>
      </c>
      <c r="R206">
        <v>20</v>
      </c>
      <c r="S206" t="s">
        <v>67</v>
      </c>
      <c r="T206" t="s">
        <v>45</v>
      </c>
      <c r="U206">
        <v>1040</v>
      </c>
      <c r="V206" s="1">
        <v>31374</v>
      </c>
      <c r="W206" t="s">
        <v>68</v>
      </c>
      <c r="X206" t="s">
        <v>47</v>
      </c>
      <c r="Y206" t="s">
        <v>48</v>
      </c>
      <c r="Z206" t="s">
        <v>49</v>
      </c>
      <c r="AA206" t="s">
        <v>50</v>
      </c>
      <c r="AB206" s="1">
        <v>41953</v>
      </c>
      <c r="AD206" t="s">
        <v>51</v>
      </c>
      <c r="AE206" t="s">
        <v>52</v>
      </c>
      <c r="AF206" t="s">
        <v>53</v>
      </c>
      <c r="AG206" t="s">
        <v>72</v>
      </c>
      <c r="AH206">
        <v>16</v>
      </c>
      <c r="AI206" t="s">
        <v>64</v>
      </c>
      <c r="AJ206" t="s">
        <v>65</v>
      </c>
      <c r="AK206">
        <v>4.53</v>
      </c>
      <c r="AL206">
        <v>5</v>
      </c>
      <c r="AM206">
        <v>0</v>
      </c>
      <c r="AN206" s="1">
        <v>43481</v>
      </c>
      <c r="AO206">
        <v>0</v>
      </c>
      <c r="AP206">
        <v>5</v>
      </c>
    </row>
    <row r="207" spans="1:42">
      <c r="A207" t="s">
        <v>372</v>
      </c>
      <c r="B207" t="str">
        <f t="shared" si="9"/>
        <v>Lynn</v>
      </c>
      <c r="C207" t="str">
        <f t="shared" si="10"/>
        <v>O'hare</v>
      </c>
      <c r="D207">
        <f t="shared" ca="1" si="11"/>
        <v>4</v>
      </c>
      <c r="E207" t="str" cm="1">
        <f t="array" ref="E207">_xlfn.IFS(P207&lt;40000, "Low", P207&lt;70000, "MID", P207&lt;100000, "HIGH", P207&gt;=100000, "Executive")</f>
        <v>MID</v>
      </c>
      <c r="F207" t="str" cm="1">
        <f t="array" ref="F207">_xlfn.IFS(AJ207="Exceeds", "Top Performer", AJ207="Fully Meets", "Solid Performer", AJ207="Needs Improvement", "Underperformer", AJ207="PIP", "At Risk")</f>
        <v>At Risk</v>
      </c>
      <c r="G207" t="str" cm="1">
        <f t="array" ref="G207">_xlfn.IFS(AE207="Active", "Retained", AE207="Voluntarily Terminated", "Voluntary Exit", AE207="Terminated for Cause", "Involuntary Exit")</f>
        <v>Involuntary Exit</v>
      </c>
      <c r="H207">
        <v>10303</v>
      </c>
      <c r="I207">
        <v>0</v>
      </c>
      <c r="J207">
        <v>0</v>
      </c>
      <c r="K207">
        <v>0</v>
      </c>
      <c r="L207">
        <v>4</v>
      </c>
      <c r="M207">
        <v>5</v>
      </c>
      <c r="N207">
        <v>1</v>
      </c>
      <c r="O207">
        <v>0</v>
      </c>
      <c r="P207">
        <v>52674</v>
      </c>
      <c r="Q207">
        <v>1</v>
      </c>
      <c r="R207">
        <v>19</v>
      </c>
      <c r="S207" t="s">
        <v>44</v>
      </c>
      <c r="T207" t="s">
        <v>45</v>
      </c>
      <c r="U207">
        <v>2152</v>
      </c>
      <c r="V207" s="1">
        <v>29494</v>
      </c>
      <c r="W207" t="s">
        <v>68</v>
      </c>
      <c r="X207" t="s">
        <v>47</v>
      </c>
      <c r="Y207" t="s">
        <v>48</v>
      </c>
      <c r="Z207" t="s">
        <v>49</v>
      </c>
      <c r="AA207" t="s">
        <v>105</v>
      </c>
      <c r="AB207" s="1">
        <v>41729</v>
      </c>
      <c r="AC207" s="1">
        <v>43221</v>
      </c>
      <c r="AD207" t="s">
        <v>117</v>
      </c>
      <c r="AE207" t="s">
        <v>111</v>
      </c>
      <c r="AF207" t="s">
        <v>53</v>
      </c>
      <c r="AG207" t="s">
        <v>70</v>
      </c>
      <c r="AH207">
        <v>20</v>
      </c>
      <c r="AI207" t="s">
        <v>55</v>
      </c>
      <c r="AJ207" t="s">
        <v>198</v>
      </c>
      <c r="AK207">
        <v>2.33</v>
      </c>
      <c r="AL207">
        <v>2</v>
      </c>
      <c r="AM207">
        <v>0</v>
      </c>
      <c r="AN207" s="1">
        <v>43168</v>
      </c>
      <c r="AO207">
        <v>6</v>
      </c>
      <c r="AP207">
        <v>3</v>
      </c>
    </row>
    <row r="208" spans="1:42">
      <c r="A208" t="s">
        <v>373</v>
      </c>
      <c r="B208" t="str">
        <f t="shared" si="9"/>
        <v>Brooke</v>
      </c>
      <c r="C208" t="str">
        <f t="shared" si="10"/>
        <v>Oliver</v>
      </c>
      <c r="D208">
        <f t="shared" ca="1" si="11"/>
        <v>1</v>
      </c>
      <c r="E208" t="str" cm="1">
        <f t="array" ref="E208">_xlfn.IFS(P208&lt;40000, "Low", P208&lt;70000, "MID", P208&lt;100000, "HIGH", P208&gt;=100000, "Executive")</f>
        <v>HIGH</v>
      </c>
      <c r="F208" t="str" cm="1">
        <f t="array" ref="F208">_xlfn.IFS(AJ208="Exceeds", "Top Performer", AJ208="Fully Meets", "Solid Performer", AJ208="Needs Improvement", "Underperformer", AJ208="PIP", "At Risk")</f>
        <v>Solid Performer</v>
      </c>
      <c r="G208" t="str" cm="1">
        <f t="array" ref="G208">_xlfn.IFS(AE208="Active", "Retained", AE208="Voluntarily Terminated", "Voluntary Exit", AE208="Terminated for Cause", "Involuntary Exit")</f>
        <v>Voluntary Exit</v>
      </c>
      <c r="H208">
        <v>10078</v>
      </c>
      <c r="I208">
        <v>1</v>
      </c>
      <c r="J208">
        <v>1</v>
      </c>
      <c r="K208">
        <v>0</v>
      </c>
      <c r="L208">
        <v>5</v>
      </c>
      <c r="M208">
        <v>5</v>
      </c>
      <c r="N208">
        <v>3</v>
      </c>
      <c r="O208">
        <v>0</v>
      </c>
      <c r="P208">
        <v>71966</v>
      </c>
      <c r="Q208">
        <v>1</v>
      </c>
      <c r="R208">
        <v>20</v>
      </c>
      <c r="S208" t="s">
        <v>67</v>
      </c>
      <c r="T208" t="s">
        <v>45</v>
      </c>
      <c r="U208">
        <v>2492</v>
      </c>
      <c r="V208" s="1">
        <v>19035</v>
      </c>
      <c r="W208" t="s">
        <v>68</v>
      </c>
      <c r="X208" t="s">
        <v>59</v>
      </c>
      <c r="Y208" t="s">
        <v>48</v>
      </c>
      <c r="Z208" t="s">
        <v>49</v>
      </c>
      <c r="AA208" t="s">
        <v>119</v>
      </c>
      <c r="AB208" s="1">
        <v>41043</v>
      </c>
      <c r="AC208" s="1">
        <v>41505</v>
      </c>
      <c r="AD208" t="s">
        <v>100</v>
      </c>
      <c r="AE208" t="s">
        <v>61</v>
      </c>
      <c r="AF208" t="s">
        <v>53</v>
      </c>
      <c r="AG208" t="s">
        <v>76</v>
      </c>
      <c r="AH208">
        <v>39</v>
      </c>
      <c r="AI208" t="s">
        <v>55</v>
      </c>
      <c r="AJ208" t="s">
        <v>65</v>
      </c>
      <c r="AK208">
        <v>5</v>
      </c>
      <c r="AL208">
        <v>3</v>
      </c>
      <c r="AM208">
        <v>0</v>
      </c>
      <c r="AN208" s="1">
        <v>41457</v>
      </c>
      <c r="AO208">
        <v>0</v>
      </c>
      <c r="AP208">
        <v>17</v>
      </c>
    </row>
    <row r="209" spans="1:42">
      <c r="A209" t="s">
        <v>374</v>
      </c>
      <c r="B209" t="str">
        <f t="shared" si="9"/>
        <v>Jasmine</v>
      </c>
      <c r="C209" t="str">
        <f t="shared" si="10"/>
        <v>Onque</v>
      </c>
      <c r="D209">
        <f t="shared" ca="1" si="11"/>
        <v>12</v>
      </c>
      <c r="E209" t="str" cm="1">
        <f t="array" ref="E209">_xlfn.IFS(P209&lt;40000, "Low", P209&lt;70000, "MID", P209&lt;100000, "HIGH", P209&gt;=100000, "Executive")</f>
        <v>MID</v>
      </c>
      <c r="F209" t="str" cm="1">
        <f t="array" ref="F209">_xlfn.IFS(AJ209="Exceeds", "Top Performer", AJ209="Fully Meets", "Solid Performer", AJ209="Needs Improvement", "Underperformer", AJ209="PIP", "At Risk")</f>
        <v>Solid Performer</v>
      </c>
      <c r="G209" t="str" cm="1">
        <f t="array" ref="G209">_xlfn.IFS(AE209="Active", "Retained", AE209="Voluntarily Terminated", "Voluntary Exit", AE209="Terminated for Cause", "Involuntary Exit")</f>
        <v>Retained</v>
      </c>
      <c r="H209">
        <v>10121</v>
      </c>
      <c r="I209">
        <v>0</v>
      </c>
      <c r="J209">
        <v>0</v>
      </c>
      <c r="K209">
        <v>0</v>
      </c>
      <c r="L209">
        <v>1</v>
      </c>
      <c r="M209">
        <v>6</v>
      </c>
      <c r="N209">
        <v>3</v>
      </c>
      <c r="O209">
        <v>0</v>
      </c>
      <c r="P209">
        <v>63051</v>
      </c>
      <c r="Q209">
        <v>0</v>
      </c>
      <c r="R209">
        <v>3</v>
      </c>
      <c r="S209" t="s">
        <v>146</v>
      </c>
      <c r="T209" t="s">
        <v>375</v>
      </c>
      <c r="U209">
        <v>33174</v>
      </c>
      <c r="V209" s="1">
        <v>33004</v>
      </c>
      <c r="W209" t="s">
        <v>68</v>
      </c>
      <c r="X209" t="s">
        <v>47</v>
      </c>
      <c r="Y209" t="s">
        <v>48</v>
      </c>
      <c r="Z209" t="s">
        <v>96</v>
      </c>
      <c r="AA209" t="s">
        <v>50</v>
      </c>
      <c r="AB209" s="1">
        <v>41547</v>
      </c>
      <c r="AD209" t="s">
        <v>51</v>
      </c>
      <c r="AE209" t="s">
        <v>52</v>
      </c>
      <c r="AF209" t="s">
        <v>148</v>
      </c>
      <c r="AG209" t="s">
        <v>167</v>
      </c>
      <c r="AH209">
        <v>21</v>
      </c>
      <c r="AI209" t="s">
        <v>64</v>
      </c>
      <c r="AJ209" t="s">
        <v>65</v>
      </c>
      <c r="AK209">
        <v>4.28</v>
      </c>
      <c r="AL209">
        <v>3</v>
      </c>
      <c r="AM209">
        <v>0</v>
      </c>
      <c r="AN209" s="1">
        <v>43490</v>
      </c>
      <c r="AO209">
        <v>0</v>
      </c>
      <c r="AP209">
        <v>1</v>
      </c>
    </row>
    <row r="210" spans="1:42">
      <c r="A210" t="s">
        <v>376</v>
      </c>
      <c r="B210" t="str">
        <f t="shared" si="9"/>
        <v>Adeel</v>
      </c>
      <c r="C210" t="str">
        <f t="shared" si="10"/>
        <v>Osturnka</v>
      </c>
      <c r="D210">
        <f t="shared" ca="1" si="11"/>
        <v>12</v>
      </c>
      <c r="E210" t="str" cm="1">
        <f t="array" ref="E210">_xlfn.IFS(P210&lt;40000, "Low", P210&lt;70000, "MID", P210&lt;100000, "HIGH", P210&gt;=100000, "Executive")</f>
        <v>MID</v>
      </c>
      <c r="F210" t="str" cm="1">
        <f t="array" ref="F210">_xlfn.IFS(AJ210="Exceeds", "Top Performer", AJ210="Fully Meets", "Solid Performer", AJ210="Needs Improvement", "Underperformer", AJ210="PIP", "At Risk")</f>
        <v>Top Performer</v>
      </c>
      <c r="G210" t="str" cm="1">
        <f t="array" ref="G210">_xlfn.IFS(AE210="Active", "Retained", AE210="Voluntarily Terminated", "Voluntary Exit", AE210="Terminated for Cause", "Involuntary Exit")</f>
        <v>Retained</v>
      </c>
      <c r="H210">
        <v>10021</v>
      </c>
      <c r="I210">
        <v>1</v>
      </c>
      <c r="J210">
        <v>1</v>
      </c>
      <c r="K210">
        <v>1</v>
      </c>
      <c r="L210">
        <v>1</v>
      </c>
      <c r="M210">
        <v>5</v>
      </c>
      <c r="N210">
        <v>4</v>
      </c>
      <c r="O210">
        <v>0</v>
      </c>
      <c r="P210">
        <v>47414</v>
      </c>
      <c r="Q210">
        <v>0</v>
      </c>
      <c r="R210">
        <v>19</v>
      </c>
      <c r="S210" t="s">
        <v>44</v>
      </c>
      <c r="T210" t="s">
        <v>45</v>
      </c>
      <c r="U210">
        <v>2478</v>
      </c>
      <c r="V210" s="1">
        <v>28105</v>
      </c>
      <c r="W210" t="s">
        <v>46</v>
      </c>
      <c r="X210" t="s">
        <v>59</v>
      </c>
      <c r="Y210" t="s">
        <v>48</v>
      </c>
      <c r="Z210" t="s">
        <v>49</v>
      </c>
      <c r="AA210" t="s">
        <v>50</v>
      </c>
      <c r="AB210" s="1">
        <v>41547</v>
      </c>
      <c r="AD210" t="s">
        <v>51</v>
      </c>
      <c r="AE210" t="s">
        <v>52</v>
      </c>
      <c r="AF210" t="s">
        <v>53</v>
      </c>
      <c r="AG210" t="s">
        <v>106</v>
      </c>
      <c r="AH210">
        <v>18</v>
      </c>
      <c r="AI210" t="s">
        <v>55</v>
      </c>
      <c r="AJ210" t="s">
        <v>56</v>
      </c>
      <c r="AK210">
        <v>5</v>
      </c>
      <c r="AL210">
        <v>3</v>
      </c>
      <c r="AM210">
        <v>0</v>
      </c>
      <c r="AN210" s="1">
        <v>43503</v>
      </c>
      <c r="AO210">
        <v>0</v>
      </c>
      <c r="AP210">
        <v>13</v>
      </c>
    </row>
    <row r="211" spans="1:42">
      <c r="A211" t="s">
        <v>377</v>
      </c>
      <c r="B211" t="str">
        <f t="shared" si="9"/>
        <v>Clinton</v>
      </c>
      <c r="C211" t="str">
        <f t="shared" si="10"/>
        <v>Owad</v>
      </c>
      <c r="D211">
        <f t="shared" ca="1" si="11"/>
        <v>12</v>
      </c>
      <c r="E211" t="str" cm="1">
        <f t="array" ref="E211">_xlfn.IFS(P211&lt;40000, "Low", P211&lt;70000, "MID", P211&lt;100000, "HIGH", P211&gt;=100000, "Executive")</f>
        <v>MID</v>
      </c>
      <c r="F211" t="str" cm="1">
        <f t="array" ref="F211">_xlfn.IFS(AJ211="Exceeds", "Top Performer", AJ211="Fully Meets", "Solid Performer", AJ211="Needs Improvement", "Underperformer", AJ211="PIP", "At Risk")</f>
        <v>Underperformer</v>
      </c>
      <c r="G211" t="str" cm="1">
        <f t="array" ref="G211">_xlfn.IFS(AE211="Active", "Retained", AE211="Voluntarily Terminated", "Voluntary Exit", AE211="Terminated for Cause", "Involuntary Exit")</f>
        <v>Retained</v>
      </c>
      <c r="H211">
        <v>10281</v>
      </c>
      <c r="I211">
        <v>0</v>
      </c>
      <c r="J211">
        <v>0</v>
      </c>
      <c r="K211">
        <v>1</v>
      </c>
      <c r="L211">
        <v>1</v>
      </c>
      <c r="M211">
        <v>5</v>
      </c>
      <c r="N211">
        <v>2</v>
      </c>
      <c r="O211">
        <v>0</v>
      </c>
      <c r="P211">
        <v>53060</v>
      </c>
      <c r="Q211">
        <v>0</v>
      </c>
      <c r="R211">
        <v>19</v>
      </c>
      <c r="S211" t="s">
        <v>44</v>
      </c>
      <c r="T211" t="s">
        <v>45</v>
      </c>
      <c r="U211">
        <v>1760</v>
      </c>
      <c r="V211" s="1">
        <v>29183</v>
      </c>
      <c r="W211" t="s">
        <v>46</v>
      </c>
      <c r="X211" t="s">
        <v>47</v>
      </c>
      <c r="Y211" t="s">
        <v>48</v>
      </c>
      <c r="Z211" t="s">
        <v>49</v>
      </c>
      <c r="AA211" t="s">
        <v>89</v>
      </c>
      <c r="AB211" s="1">
        <v>41687</v>
      </c>
      <c r="AD211" t="s">
        <v>51</v>
      </c>
      <c r="AE211" t="s">
        <v>52</v>
      </c>
      <c r="AF211" t="s">
        <v>53</v>
      </c>
      <c r="AG211" t="s">
        <v>54</v>
      </c>
      <c r="AH211">
        <v>22</v>
      </c>
      <c r="AI211" t="s">
        <v>55</v>
      </c>
      <c r="AJ211" t="s">
        <v>125</v>
      </c>
      <c r="AK211">
        <v>4.25</v>
      </c>
      <c r="AL211">
        <v>3</v>
      </c>
      <c r="AM211">
        <v>0</v>
      </c>
      <c r="AN211" s="1">
        <v>43500</v>
      </c>
      <c r="AO211">
        <v>4</v>
      </c>
      <c r="AP211">
        <v>6</v>
      </c>
    </row>
    <row r="212" spans="1:42">
      <c r="A212" t="s">
        <v>378</v>
      </c>
      <c r="B212" t="str">
        <f t="shared" si="9"/>
        <v>Travis</v>
      </c>
      <c r="C212" t="str">
        <f t="shared" si="10"/>
        <v>Ozark</v>
      </c>
      <c r="D212">
        <f t="shared" ca="1" si="11"/>
        <v>11</v>
      </c>
      <c r="E212" t="str" cm="1">
        <f t="array" ref="E212">_xlfn.IFS(P212&lt;40000, "Low", P212&lt;70000, "MID", P212&lt;100000, "HIGH", P212&gt;=100000, "Executive")</f>
        <v>MID</v>
      </c>
      <c r="F212" t="str" cm="1">
        <f t="array" ref="F212">_xlfn.IFS(AJ212="Exceeds", "Top Performer", AJ212="Fully Meets", "Solid Performer", AJ212="Needs Improvement", "Underperformer", AJ212="PIP", "At Risk")</f>
        <v>Solid Performer</v>
      </c>
      <c r="G212" t="str" cm="1">
        <f t="array" ref="G212">_xlfn.IFS(AE212="Active", "Retained", AE212="Voluntarily Terminated", "Voluntary Exit", AE212="Terminated for Cause", "Involuntary Exit")</f>
        <v>Retained</v>
      </c>
      <c r="H212">
        <v>10041</v>
      </c>
      <c r="I212">
        <v>0</v>
      </c>
      <c r="J212">
        <v>0</v>
      </c>
      <c r="K212">
        <v>1</v>
      </c>
      <c r="L212">
        <v>1</v>
      </c>
      <c r="M212">
        <v>6</v>
      </c>
      <c r="N212">
        <v>3</v>
      </c>
      <c r="O212">
        <v>0</v>
      </c>
      <c r="P212">
        <v>68829</v>
      </c>
      <c r="Q212">
        <v>0</v>
      </c>
      <c r="R212">
        <v>3</v>
      </c>
      <c r="S212" t="s">
        <v>146</v>
      </c>
      <c r="T212" t="s">
        <v>379</v>
      </c>
      <c r="U212">
        <v>27229</v>
      </c>
      <c r="V212" s="1">
        <v>30090</v>
      </c>
      <c r="W212" t="s">
        <v>46</v>
      </c>
      <c r="X212" t="s">
        <v>47</v>
      </c>
      <c r="Y212" t="s">
        <v>48</v>
      </c>
      <c r="Z212" t="s">
        <v>49</v>
      </c>
      <c r="AA212" t="s">
        <v>50</v>
      </c>
      <c r="AB212" s="1">
        <v>42009</v>
      </c>
      <c r="AD212" t="s">
        <v>51</v>
      </c>
      <c r="AE212" t="s">
        <v>52</v>
      </c>
      <c r="AF212" t="s">
        <v>148</v>
      </c>
      <c r="AG212" t="s">
        <v>149</v>
      </c>
      <c r="AH212">
        <v>17</v>
      </c>
      <c r="AI212" t="s">
        <v>208</v>
      </c>
      <c r="AJ212" t="s">
        <v>65</v>
      </c>
      <c r="AK212">
        <v>5</v>
      </c>
      <c r="AL212">
        <v>5</v>
      </c>
      <c r="AM212">
        <v>0</v>
      </c>
      <c r="AN212" s="1">
        <v>43479</v>
      </c>
      <c r="AO212">
        <v>0</v>
      </c>
      <c r="AP212">
        <v>18</v>
      </c>
    </row>
    <row r="213" spans="1:42">
      <c r="A213" t="s">
        <v>380</v>
      </c>
      <c r="B213" t="str">
        <f t="shared" si="9"/>
        <v>Nina</v>
      </c>
      <c r="C213" t="str">
        <f t="shared" si="10"/>
        <v>Panjwani</v>
      </c>
      <c r="D213">
        <f t="shared" ca="1" si="11"/>
        <v>2</v>
      </c>
      <c r="E213" t="str" cm="1">
        <f t="array" ref="E213">_xlfn.IFS(P213&lt;40000, "Low", P213&lt;70000, "MID", P213&lt;100000, "HIGH", P213&gt;=100000, "Executive")</f>
        <v>MID</v>
      </c>
      <c r="F213" t="str" cm="1">
        <f t="array" ref="F213">_xlfn.IFS(AJ213="Exceeds", "Top Performer", AJ213="Fully Meets", "Solid Performer", AJ213="Needs Improvement", "Underperformer", AJ213="PIP", "At Risk")</f>
        <v>Solid Performer</v>
      </c>
      <c r="G213" t="str" cm="1">
        <f t="array" ref="G213">_xlfn.IFS(AE213="Active", "Retained", AE213="Voluntarily Terminated", "Voluntary Exit", AE213="Terminated for Cause", "Involuntary Exit")</f>
        <v>Voluntary Exit</v>
      </c>
      <c r="H213">
        <v>10148</v>
      </c>
      <c r="I213">
        <v>1</v>
      </c>
      <c r="J213">
        <v>1</v>
      </c>
      <c r="K213">
        <v>0</v>
      </c>
      <c r="L213">
        <v>5</v>
      </c>
      <c r="M213">
        <v>5</v>
      </c>
      <c r="N213">
        <v>3</v>
      </c>
      <c r="O213">
        <v>0</v>
      </c>
      <c r="P213">
        <v>63515</v>
      </c>
      <c r="Q213">
        <v>1</v>
      </c>
      <c r="R213">
        <v>19</v>
      </c>
      <c r="S213" t="s">
        <v>44</v>
      </c>
      <c r="T213" t="s">
        <v>45</v>
      </c>
      <c r="U213">
        <v>2351</v>
      </c>
      <c r="V213" s="1">
        <v>28976</v>
      </c>
      <c r="W213" t="s">
        <v>68</v>
      </c>
      <c r="X213" t="s">
        <v>59</v>
      </c>
      <c r="Y213" t="s">
        <v>48</v>
      </c>
      <c r="Z213" t="s">
        <v>49</v>
      </c>
      <c r="AA213" t="s">
        <v>50</v>
      </c>
      <c r="AB213" s="1">
        <v>40581</v>
      </c>
      <c r="AC213" s="1">
        <v>41651</v>
      </c>
      <c r="AD213" t="s">
        <v>97</v>
      </c>
      <c r="AE213" t="s">
        <v>61</v>
      </c>
      <c r="AF213" t="s">
        <v>53</v>
      </c>
      <c r="AG213" t="s">
        <v>72</v>
      </c>
      <c r="AH213">
        <v>16</v>
      </c>
      <c r="AI213" t="s">
        <v>77</v>
      </c>
      <c r="AJ213" t="s">
        <v>65</v>
      </c>
      <c r="AK213">
        <v>3.89</v>
      </c>
      <c r="AL213">
        <v>4</v>
      </c>
      <c r="AM213">
        <v>0</v>
      </c>
      <c r="AN213" s="1">
        <v>41337</v>
      </c>
      <c r="AO213">
        <v>0</v>
      </c>
      <c r="AP213">
        <v>7</v>
      </c>
    </row>
    <row r="214" spans="1:42">
      <c r="A214" t="s">
        <v>381</v>
      </c>
      <c r="B214" t="str">
        <f t="shared" si="9"/>
        <v>Lucas</v>
      </c>
      <c r="C214" t="str">
        <f t="shared" si="10"/>
        <v>Patronick</v>
      </c>
      <c r="D214">
        <f t="shared" ca="1" si="11"/>
        <v>3</v>
      </c>
      <c r="E214" t="str" cm="1">
        <f t="array" ref="E214">_xlfn.IFS(P214&lt;40000, "Low", P214&lt;70000, "MID", P214&lt;100000, "HIGH", P214&gt;=100000, "Executive")</f>
        <v>Executive</v>
      </c>
      <c r="F214" t="str" cm="1">
        <f t="array" ref="F214">_xlfn.IFS(AJ214="Exceeds", "Top Performer", AJ214="Fully Meets", "Solid Performer", AJ214="Needs Improvement", "Underperformer", AJ214="PIP", "At Risk")</f>
        <v>Top Performer</v>
      </c>
      <c r="G214" t="str" cm="1">
        <f t="array" ref="G214">_xlfn.IFS(AE214="Active", "Retained", AE214="Voluntarily Terminated", "Voluntary Exit", AE214="Terminated for Cause", "Involuntary Exit")</f>
        <v>Voluntary Exit</v>
      </c>
      <c r="H214">
        <v>10005</v>
      </c>
      <c r="I214">
        <v>0</v>
      </c>
      <c r="J214">
        <v>0</v>
      </c>
      <c r="K214">
        <v>1</v>
      </c>
      <c r="L214">
        <v>5</v>
      </c>
      <c r="M214">
        <v>4</v>
      </c>
      <c r="N214">
        <v>4</v>
      </c>
      <c r="O214">
        <v>1</v>
      </c>
      <c r="P214">
        <v>108987</v>
      </c>
      <c r="Q214">
        <v>1</v>
      </c>
      <c r="R214">
        <v>24</v>
      </c>
      <c r="S214" t="s">
        <v>81</v>
      </c>
      <c r="T214" t="s">
        <v>45</v>
      </c>
      <c r="U214">
        <v>1844</v>
      </c>
      <c r="V214" s="1">
        <v>28906</v>
      </c>
      <c r="W214" t="s">
        <v>46</v>
      </c>
      <c r="X214" t="s">
        <v>47</v>
      </c>
      <c r="Y214" t="s">
        <v>48</v>
      </c>
      <c r="Z214" t="s">
        <v>49</v>
      </c>
      <c r="AA214" t="s">
        <v>89</v>
      </c>
      <c r="AB214" s="1">
        <v>40854</v>
      </c>
      <c r="AC214" s="1">
        <v>42254</v>
      </c>
      <c r="AD214" t="s">
        <v>97</v>
      </c>
      <c r="AE214" t="s">
        <v>61</v>
      </c>
      <c r="AF214" t="s">
        <v>82</v>
      </c>
      <c r="AG214" t="s">
        <v>83</v>
      </c>
      <c r="AH214">
        <v>10</v>
      </c>
      <c r="AI214" t="s">
        <v>91</v>
      </c>
      <c r="AJ214" t="s">
        <v>56</v>
      </c>
      <c r="AK214">
        <v>5</v>
      </c>
      <c r="AL214">
        <v>5</v>
      </c>
      <c r="AM214">
        <v>3</v>
      </c>
      <c r="AN214" s="1">
        <v>42232</v>
      </c>
      <c r="AO214">
        <v>0</v>
      </c>
      <c r="AP214">
        <v>13</v>
      </c>
    </row>
    <row r="215" spans="1:42">
      <c r="A215" t="s">
        <v>382</v>
      </c>
      <c r="B215" t="str">
        <f t="shared" si="9"/>
        <v>Randall</v>
      </c>
      <c r="C215" t="str">
        <f t="shared" si="10"/>
        <v>Pearson</v>
      </c>
      <c r="D215">
        <f t="shared" ca="1" si="11"/>
        <v>1</v>
      </c>
      <c r="E215" t="str" cm="1">
        <f t="array" ref="E215">_xlfn.IFS(P215&lt;40000, "Low", P215&lt;70000, "MID", P215&lt;100000, "HIGH", P215&gt;=100000, "Executive")</f>
        <v>HIGH</v>
      </c>
      <c r="F215" t="str" cm="1">
        <f t="array" ref="F215">_xlfn.IFS(AJ215="Exceeds", "Top Performer", AJ215="Fully Meets", "Solid Performer", AJ215="Needs Improvement", "Underperformer", AJ215="PIP", "At Risk")</f>
        <v>Solid Performer</v>
      </c>
      <c r="G215" t="str" cm="1">
        <f t="array" ref="G215">_xlfn.IFS(AE215="Active", "Retained", AE215="Voluntarily Terminated", "Voluntary Exit", AE215="Terminated for Cause", "Involuntary Exit")</f>
        <v>Voluntary Exit</v>
      </c>
      <c r="H215">
        <v>10259</v>
      </c>
      <c r="I215">
        <v>1</v>
      </c>
      <c r="J215">
        <v>1</v>
      </c>
      <c r="K215">
        <v>1</v>
      </c>
      <c r="L215">
        <v>5</v>
      </c>
      <c r="M215">
        <v>3</v>
      </c>
      <c r="N215">
        <v>3</v>
      </c>
      <c r="O215">
        <v>0</v>
      </c>
      <c r="P215">
        <v>93093</v>
      </c>
      <c r="Q215">
        <v>1</v>
      </c>
      <c r="R215">
        <v>9</v>
      </c>
      <c r="S215" t="s">
        <v>102</v>
      </c>
      <c r="T215" t="s">
        <v>45</v>
      </c>
      <c r="U215">
        <v>2747</v>
      </c>
      <c r="V215" s="1">
        <v>30930</v>
      </c>
      <c r="W215" t="s">
        <v>46</v>
      </c>
      <c r="X215" t="s">
        <v>59</v>
      </c>
      <c r="Y215" t="s">
        <v>48</v>
      </c>
      <c r="Z215" t="s">
        <v>49</v>
      </c>
      <c r="AA215" t="s">
        <v>50</v>
      </c>
      <c r="AB215" s="1">
        <v>41974</v>
      </c>
      <c r="AC215" s="1">
        <v>42491</v>
      </c>
      <c r="AD215" t="s">
        <v>117</v>
      </c>
      <c r="AE215" t="s">
        <v>61</v>
      </c>
      <c r="AF215" t="s">
        <v>62</v>
      </c>
      <c r="AG215" t="s">
        <v>63</v>
      </c>
      <c r="AH215">
        <v>4</v>
      </c>
      <c r="AI215" t="s">
        <v>87</v>
      </c>
      <c r="AJ215" t="s">
        <v>65</v>
      </c>
      <c r="AK215">
        <v>4.7</v>
      </c>
      <c r="AL215">
        <v>4</v>
      </c>
      <c r="AM215">
        <v>5</v>
      </c>
      <c r="AN215" s="1">
        <v>42385</v>
      </c>
      <c r="AO215">
        <v>0</v>
      </c>
      <c r="AP215">
        <v>19</v>
      </c>
    </row>
    <row r="216" spans="1:42">
      <c r="A216" t="s">
        <v>383</v>
      </c>
      <c r="B216" t="str">
        <f t="shared" si="9"/>
        <v>Martin</v>
      </c>
      <c r="C216" t="str">
        <f t="shared" si="10"/>
        <v>Smith</v>
      </c>
      <c r="D216">
        <f t="shared" ca="1" si="11"/>
        <v>6</v>
      </c>
      <c r="E216" t="str" cm="1">
        <f t="array" ref="E216">_xlfn.IFS(P216&lt;40000, "Low", P216&lt;70000, "MID", P216&lt;100000, "HIGH", P216&gt;=100000, "Executive")</f>
        <v>MID</v>
      </c>
      <c r="F216" t="str" cm="1">
        <f t="array" ref="F216">_xlfn.IFS(AJ216="Exceeds", "Top Performer", AJ216="Fully Meets", "Solid Performer", AJ216="Needs Improvement", "Underperformer", AJ216="PIP", "At Risk")</f>
        <v>Underperformer</v>
      </c>
      <c r="G216" t="str" cm="1">
        <f t="array" ref="G216">_xlfn.IFS(AE216="Active", "Retained", AE216="Voluntarily Terminated", "Voluntary Exit", AE216="Terminated for Cause", "Involuntary Exit")</f>
        <v>Voluntary Exit</v>
      </c>
      <c r="H216">
        <v>10286</v>
      </c>
      <c r="I216">
        <v>0</v>
      </c>
      <c r="J216">
        <v>0</v>
      </c>
      <c r="K216">
        <v>1</v>
      </c>
      <c r="L216">
        <v>5</v>
      </c>
      <c r="M216">
        <v>5</v>
      </c>
      <c r="N216">
        <v>2</v>
      </c>
      <c r="O216">
        <v>0</v>
      </c>
      <c r="P216">
        <v>53564</v>
      </c>
      <c r="Q216">
        <v>1</v>
      </c>
      <c r="R216">
        <v>19</v>
      </c>
      <c r="S216" t="s">
        <v>44</v>
      </c>
      <c r="T216" t="s">
        <v>45</v>
      </c>
      <c r="U216">
        <v>2458</v>
      </c>
      <c r="V216" s="1">
        <v>32219</v>
      </c>
      <c r="W216" t="s">
        <v>46</v>
      </c>
      <c r="X216" t="s">
        <v>47</v>
      </c>
      <c r="Y216" t="s">
        <v>48</v>
      </c>
      <c r="Z216" t="s">
        <v>49</v>
      </c>
      <c r="AA216" t="s">
        <v>89</v>
      </c>
      <c r="AB216" s="1">
        <v>40553</v>
      </c>
      <c r="AC216" s="1">
        <v>43097</v>
      </c>
      <c r="AD216" t="s">
        <v>60</v>
      </c>
      <c r="AE216" t="s">
        <v>61</v>
      </c>
      <c r="AF216" t="s">
        <v>53</v>
      </c>
      <c r="AG216" t="s">
        <v>76</v>
      </c>
      <c r="AH216">
        <v>39</v>
      </c>
      <c r="AI216" t="s">
        <v>77</v>
      </c>
      <c r="AJ216" t="s">
        <v>125</v>
      </c>
      <c r="AK216">
        <v>3.54</v>
      </c>
      <c r="AL216">
        <v>5</v>
      </c>
      <c r="AM216">
        <v>0</v>
      </c>
      <c r="AN216" s="1">
        <v>42831</v>
      </c>
      <c r="AO216">
        <v>4</v>
      </c>
      <c r="AP216">
        <v>15</v>
      </c>
    </row>
    <row r="217" spans="1:42">
      <c r="A217" t="s">
        <v>384</v>
      </c>
      <c r="B217" t="str">
        <f t="shared" si="9"/>
        <v>Ermine</v>
      </c>
      <c r="C217" t="str">
        <f t="shared" si="10"/>
        <v>Pelletier</v>
      </c>
      <c r="D217">
        <f t="shared" ca="1" si="11"/>
        <v>4</v>
      </c>
      <c r="E217" t="str" cm="1">
        <f t="array" ref="E217">_xlfn.IFS(P217&lt;40000, "Low", P217&lt;70000, "MID", P217&lt;100000, "HIGH", P217&gt;=100000, "Executive")</f>
        <v>MID</v>
      </c>
      <c r="F217" t="str" cm="1">
        <f t="array" ref="F217">_xlfn.IFS(AJ217="Exceeds", "Top Performer", AJ217="Fully Meets", "Solid Performer", AJ217="Needs Improvement", "Underperformer", AJ217="PIP", "At Risk")</f>
        <v>Underperformer</v>
      </c>
      <c r="G217" t="str" cm="1">
        <f t="array" ref="G217">_xlfn.IFS(AE217="Active", "Retained", AE217="Voluntarily Terminated", "Voluntary Exit", AE217="Terminated for Cause", "Involuntary Exit")</f>
        <v>Voluntary Exit</v>
      </c>
      <c r="H217">
        <v>10297</v>
      </c>
      <c r="I217">
        <v>1</v>
      </c>
      <c r="J217">
        <v>1</v>
      </c>
      <c r="K217">
        <v>0</v>
      </c>
      <c r="L217">
        <v>5</v>
      </c>
      <c r="M217">
        <v>5</v>
      </c>
      <c r="N217">
        <v>2</v>
      </c>
      <c r="O217">
        <v>0</v>
      </c>
      <c r="P217">
        <v>60270</v>
      </c>
      <c r="Q217">
        <v>1</v>
      </c>
      <c r="R217">
        <v>20</v>
      </c>
      <c r="S217" t="s">
        <v>67</v>
      </c>
      <c r="T217" t="s">
        <v>45</v>
      </c>
      <c r="U217">
        <v>2472</v>
      </c>
      <c r="V217" s="1">
        <v>32707</v>
      </c>
      <c r="W217" t="s">
        <v>68</v>
      </c>
      <c r="X217" t="s">
        <v>59</v>
      </c>
      <c r="Y217" t="s">
        <v>48</v>
      </c>
      <c r="Z217" t="s">
        <v>49</v>
      </c>
      <c r="AA217" t="s">
        <v>119</v>
      </c>
      <c r="AB217" s="1">
        <v>40729</v>
      </c>
      <c r="AC217" s="1">
        <v>42262</v>
      </c>
      <c r="AD217" t="s">
        <v>100</v>
      </c>
      <c r="AE217" t="s">
        <v>61</v>
      </c>
      <c r="AF217" t="s">
        <v>53</v>
      </c>
      <c r="AG217" t="s">
        <v>79</v>
      </c>
      <c r="AH217">
        <v>11</v>
      </c>
      <c r="AI217" t="s">
        <v>124</v>
      </c>
      <c r="AJ217" t="s">
        <v>125</v>
      </c>
      <c r="AK217">
        <v>2.4</v>
      </c>
      <c r="AL217">
        <v>5</v>
      </c>
      <c r="AM217">
        <v>0</v>
      </c>
      <c r="AN217" s="1">
        <v>42041</v>
      </c>
      <c r="AO217">
        <v>5</v>
      </c>
      <c r="AP217">
        <v>2</v>
      </c>
    </row>
    <row r="218" spans="1:42">
      <c r="A218" t="s">
        <v>385</v>
      </c>
      <c r="B218" t="str">
        <f t="shared" si="9"/>
        <v>Shakira</v>
      </c>
      <c r="C218" t="str">
        <f t="shared" si="10"/>
        <v>Perry</v>
      </c>
      <c r="D218">
        <f t="shared" ca="1" si="11"/>
        <v>4</v>
      </c>
      <c r="E218" t="str" cm="1">
        <f t="array" ref="E218">_xlfn.IFS(P218&lt;40000, "Low", P218&lt;70000, "MID", P218&lt;100000, "HIGH", P218&gt;=100000, "Executive")</f>
        <v>MID</v>
      </c>
      <c r="F218" t="str" cm="1">
        <f t="array" ref="F218">_xlfn.IFS(AJ218="Exceeds", "Top Performer", AJ218="Fully Meets", "Solid Performer", AJ218="Needs Improvement", "Underperformer", AJ218="PIP", "At Risk")</f>
        <v>Solid Performer</v>
      </c>
      <c r="G218" t="str" cm="1">
        <f t="array" ref="G218">_xlfn.IFS(AE218="Active", "Retained", AE218="Voluntarily Terminated", "Voluntary Exit", AE218="Terminated for Cause", "Involuntary Exit")</f>
        <v>Voluntary Exit</v>
      </c>
      <c r="H218">
        <v>10171</v>
      </c>
      <c r="I218">
        <v>0</v>
      </c>
      <c r="J218">
        <v>0</v>
      </c>
      <c r="K218">
        <v>0</v>
      </c>
      <c r="L218">
        <v>5</v>
      </c>
      <c r="M218">
        <v>5</v>
      </c>
      <c r="N218">
        <v>3</v>
      </c>
      <c r="O218">
        <v>0</v>
      </c>
      <c r="P218">
        <v>45998</v>
      </c>
      <c r="Q218">
        <v>1</v>
      </c>
      <c r="R218">
        <v>19</v>
      </c>
      <c r="S218" t="s">
        <v>44</v>
      </c>
      <c r="T218" t="s">
        <v>45</v>
      </c>
      <c r="U218">
        <v>2176</v>
      </c>
      <c r="V218" s="1">
        <v>31613</v>
      </c>
      <c r="W218" t="s">
        <v>68</v>
      </c>
      <c r="X218" t="s">
        <v>47</v>
      </c>
      <c r="Y218" t="s">
        <v>48</v>
      </c>
      <c r="Z218" t="s">
        <v>49</v>
      </c>
      <c r="AA218" t="s">
        <v>50</v>
      </c>
      <c r="AB218" s="1">
        <v>40679</v>
      </c>
      <c r="AC218" s="1">
        <v>42302</v>
      </c>
      <c r="AD218" t="s">
        <v>386</v>
      </c>
      <c r="AE218" t="s">
        <v>61</v>
      </c>
      <c r="AF218" t="s">
        <v>53</v>
      </c>
      <c r="AG218" t="s">
        <v>79</v>
      </c>
      <c r="AH218">
        <v>11</v>
      </c>
      <c r="AI218" t="s">
        <v>55</v>
      </c>
      <c r="AJ218" t="s">
        <v>65</v>
      </c>
      <c r="AK218">
        <v>3.45</v>
      </c>
      <c r="AL218">
        <v>4</v>
      </c>
      <c r="AM218">
        <v>0</v>
      </c>
      <c r="AN218" s="1">
        <v>41772</v>
      </c>
      <c r="AO218">
        <v>0</v>
      </c>
      <c r="AP218">
        <v>5</v>
      </c>
    </row>
    <row r="219" spans="1:42">
      <c r="A219" t="s">
        <v>387</v>
      </c>
      <c r="B219" t="str">
        <f t="shared" si="9"/>
        <v>Lauren</v>
      </c>
      <c r="C219" t="str">
        <f t="shared" si="10"/>
        <v>Peters</v>
      </c>
      <c r="D219">
        <f t="shared" ca="1" si="11"/>
        <v>1</v>
      </c>
      <c r="E219" t="str" cm="1">
        <f t="array" ref="E219">_xlfn.IFS(P219&lt;40000, "Low", P219&lt;70000, "MID", P219&lt;100000, "HIGH", P219&gt;=100000, "Executive")</f>
        <v>MID</v>
      </c>
      <c r="F219" t="str" cm="1">
        <f t="array" ref="F219">_xlfn.IFS(AJ219="Exceeds", "Top Performer", AJ219="Fully Meets", "Solid Performer", AJ219="Needs Improvement", "Underperformer", AJ219="PIP", "At Risk")</f>
        <v>Top Performer</v>
      </c>
      <c r="G219" t="str" cm="1">
        <f t="array" ref="G219">_xlfn.IFS(AE219="Active", "Retained", AE219="Voluntarily Terminated", "Voluntary Exit", AE219="Terminated for Cause", "Involuntary Exit")</f>
        <v>Voluntary Exit</v>
      </c>
      <c r="H219">
        <v>10032</v>
      </c>
      <c r="I219">
        <v>1</v>
      </c>
      <c r="J219">
        <v>1</v>
      </c>
      <c r="K219">
        <v>0</v>
      </c>
      <c r="L219">
        <v>5</v>
      </c>
      <c r="M219">
        <v>5</v>
      </c>
      <c r="N219">
        <v>4</v>
      </c>
      <c r="O219">
        <v>0</v>
      </c>
      <c r="P219">
        <v>57954</v>
      </c>
      <c r="Q219">
        <v>1</v>
      </c>
      <c r="R219">
        <v>20</v>
      </c>
      <c r="S219" t="s">
        <v>67</v>
      </c>
      <c r="T219" t="s">
        <v>45</v>
      </c>
      <c r="U219">
        <v>1886</v>
      </c>
      <c r="V219" s="1">
        <v>31641</v>
      </c>
      <c r="W219" t="s">
        <v>68</v>
      </c>
      <c r="X219" t="s">
        <v>59</v>
      </c>
      <c r="Y219" t="s">
        <v>48</v>
      </c>
      <c r="Z219" t="s">
        <v>49</v>
      </c>
      <c r="AA219" t="s">
        <v>50</v>
      </c>
      <c r="AB219" s="1">
        <v>40679</v>
      </c>
      <c r="AC219" s="1">
        <v>41309</v>
      </c>
      <c r="AD219" t="s">
        <v>200</v>
      </c>
      <c r="AE219" t="s">
        <v>61</v>
      </c>
      <c r="AF219" t="s">
        <v>53</v>
      </c>
      <c r="AG219" t="s">
        <v>86</v>
      </c>
      <c r="AH219">
        <v>19</v>
      </c>
      <c r="AI219" t="s">
        <v>64</v>
      </c>
      <c r="AJ219" t="s">
        <v>56</v>
      </c>
      <c r="AK219">
        <v>4.2</v>
      </c>
      <c r="AL219">
        <v>5</v>
      </c>
      <c r="AM219">
        <v>0</v>
      </c>
      <c r="AN219" s="1">
        <v>41284</v>
      </c>
      <c r="AO219">
        <v>0</v>
      </c>
      <c r="AP219">
        <v>12</v>
      </c>
    </row>
    <row r="220" spans="1:42">
      <c r="A220" t="s">
        <v>388</v>
      </c>
      <c r="B220" t="str">
        <f t="shared" si="9"/>
        <v>Ebonee</v>
      </c>
      <c r="C220" t="str">
        <f t="shared" si="10"/>
        <v>Peterson</v>
      </c>
      <c r="D220">
        <f t="shared" ca="1" si="11"/>
        <v>5</v>
      </c>
      <c r="E220" t="str" cm="1">
        <f t="array" ref="E220">_xlfn.IFS(P220&lt;40000, "Low", P220&lt;70000, "MID", P220&lt;100000, "HIGH", P220&gt;=100000, "Executive")</f>
        <v>HIGH</v>
      </c>
      <c r="F220" t="str" cm="1">
        <f t="array" ref="F220">_xlfn.IFS(AJ220="Exceeds", "Top Performer", AJ220="Fully Meets", "Solid Performer", AJ220="Needs Improvement", "Underperformer", AJ220="PIP", "At Risk")</f>
        <v>Solid Performer</v>
      </c>
      <c r="G220" t="str" cm="1">
        <f t="array" ref="G220">_xlfn.IFS(AE220="Active", "Retained", AE220="Voluntarily Terminated", "Voluntary Exit", AE220="Terminated for Cause", "Involuntary Exit")</f>
        <v>Voluntary Exit</v>
      </c>
      <c r="H220">
        <v>10130</v>
      </c>
      <c r="I220">
        <v>1</v>
      </c>
      <c r="J220">
        <v>1</v>
      </c>
      <c r="K220">
        <v>0</v>
      </c>
      <c r="L220">
        <v>5</v>
      </c>
      <c r="M220">
        <v>5</v>
      </c>
      <c r="N220">
        <v>3</v>
      </c>
      <c r="O220">
        <v>0</v>
      </c>
      <c r="P220">
        <v>74669</v>
      </c>
      <c r="Q220">
        <v>1</v>
      </c>
      <c r="R220">
        <v>18</v>
      </c>
      <c r="S220" t="s">
        <v>136</v>
      </c>
      <c r="T220" t="s">
        <v>45</v>
      </c>
      <c r="U220">
        <v>2030</v>
      </c>
      <c r="V220" s="1">
        <v>28254</v>
      </c>
      <c r="W220" t="s">
        <v>68</v>
      </c>
      <c r="X220" t="s">
        <v>59</v>
      </c>
      <c r="Y220" t="s">
        <v>48</v>
      </c>
      <c r="Z220" t="s">
        <v>49</v>
      </c>
      <c r="AA220" t="s">
        <v>50</v>
      </c>
      <c r="AB220" s="1">
        <v>40476</v>
      </c>
      <c r="AC220" s="1">
        <v>42508</v>
      </c>
      <c r="AD220" t="s">
        <v>97</v>
      </c>
      <c r="AE220" t="s">
        <v>61</v>
      </c>
      <c r="AF220" t="s">
        <v>53</v>
      </c>
      <c r="AG220" t="s">
        <v>138</v>
      </c>
      <c r="AH220">
        <v>2</v>
      </c>
      <c r="AI220" t="s">
        <v>64</v>
      </c>
      <c r="AJ220" t="s">
        <v>65</v>
      </c>
      <c r="AK220">
        <v>4.16</v>
      </c>
      <c r="AL220">
        <v>5</v>
      </c>
      <c r="AM220">
        <v>0</v>
      </c>
      <c r="AN220" s="1">
        <v>42068</v>
      </c>
      <c r="AO220">
        <v>0</v>
      </c>
      <c r="AP220">
        <v>6</v>
      </c>
    </row>
    <row r="221" spans="1:42">
      <c r="A221" t="s">
        <v>389</v>
      </c>
      <c r="B221" t="str">
        <f t="shared" si="9"/>
        <v>Shana</v>
      </c>
      <c r="C221" t="str">
        <f t="shared" si="10"/>
        <v>Petingill</v>
      </c>
      <c r="D221">
        <f t="shared" ca="1" si="11"/>
        <v>14</v>
      </c>
      <c r="E221" t="str" cm="1">
        <f t="array" ref="E221">_xlfn.IFS(P221&lt;40000, "Low", P221&lt;70000, "MID", P221&lt;100000, "HIGH", P221&gt;=100000, "Executive")</f>
        <v>HIGH</v>
      </c>
      <c r="F221" t="str" cm="1">
        <f t="array" ref="F221">_xlfn.IFS(AJ221="Exceeds", "Top Performer", AJ221="Fully Meets", "Solid Performer", AJ221="Needs Improvement", "Underperformer", AJ221="PIP", "At Risk")</f>
        <v>Solid Performer</v>
      </c>
      <c r="G221" t="str" cm="1">
        <f t="array" ref="G221">_xlfn.IFS(AE221="Active", "Retained", AE221="Voluntarily Terminated", "Voluntary Exit", AE221="Terminated for Cause", "Involuntary Exit")</f>
        <v>Retained</v>
      </c>
      <c r="H221">
        <v>10217</v>
      </c>
      <c r="I221">
        <v>1</v>
      </c>
      <c r="J221">
        <v>1</v>
      </c>
      <c r="K221">
        <v>0</v>
      </c>
      <c r="L221">
        <v>1</v>
      </c>
      <c r="M221">
        <v>5</v>
      </c>
      <c r="N221">
        <v>3</v>
      </c>
      <c r="O221">
        <v>0</v>
      </c>
      <c r="P221">
        <v>74226</v>
      </c>
      <c r="Q221">
        <v>0</v>
      </c>
      <c r="R221">
        <v>20</v>
      </c>
      <c r="S221" t="s">
        <v>67</v>
      </c>
      <c r="T221" t="s">
        <v>45</v>
      </c>
      <c r="U221">
        <v>2050</v>
      </c>
      <c r="V221" s="1">
        <v>28924</v>
      </c>
      <c r="W221" t="s">
        <v>68</v>
      </c>
      <c r="X221" t="s">
        <v>59</v>
      </c>
      <c r="Y221" t="s">
        <v>114</v>
      </c>
      <c r="Z221" t="s">
        <v>49</v>
      </c>
      <c r="AA221" t="s">
        <v>119</v>
      </c>
      <c r="AB221" s="1">
        <v>41001</v>
      </c>
      <c r="AD221" t="s">
        <v>51</v>
      </c>
      <c r="AE221" t="s">
        <v>52</v>
      </c>
      <c r="AF221" t="s">
        <v>53</v>
      </c>
      <c r="AG221" t="s">
        <v>90</v>
      </c>
      <c r="AH221">
        <v>12</v>
      </c>
      <c r="AI221" t="s">
        <v>55</v>
      </c>
      <c r="AJ221" t="s">
        <v>65</v>
      </c>
      <c r="AK221">
        <v>4.3</v>
      </c>
      <c r="AL221">
        <v>3</v>
      </c>
      <c r="AM221">
        <v>0</v>
      </c>
      <c r="AN221" s="1">
        <v>43479</v>
      </c>
      <c r="AO221">
        <v>0</v>
      </c>
      <c r="AP221">
        <v>14</v>
      </c>
    </row>
    <row r="222" spans="1:42">
      <c r="A222" t="s">
        <v>390</v>
      </c>
      <c r="B222" t="str">
        <f t="shared" si="9"/>
        <v>Thelma</v>
      </c>
      <c r="C222" t="str">
        <f t="shared" si="10"/>
        <v>Petrowsky</v>
      </c>
      <c r="D222">
        <f t="shared" ca="1" si="11"/>
        <v>11</v>
      </c>
      <c r="E222" t="str" cm="1">
        <f t="array" ref="E222">_xlfn.IFS(P222&lt;40000, "Low", P222&lt;70000, "MID", P222&lt;100000, "HIGH", P222&gt;=100000, "Executive")</f>
        <v>HIGH</v>
      </c>
      <c r="F222" t="str" cm="1">
        <f t="array" ref="F222">_xlfn.IFS(AJ222="Exceeds", "Top Performer", AJ222="Fully Meets", "Solid Performer", AJ222="Needs Improvement", "Underperformer", AJ222="PIP", "At Risk")</f>
        <v>Top Performer</v>
      </c>
      <c r="G222" t="str" cm="1">
        <f t="array" ref="G222">_xlfn.IFS(AE222="Active", "Retained", AE222="Voluntarily Terminated", "Voluntary Exit", AE222="Terminated for Cause", "Involuntary Exit")</f>
        <v>Retained</v>
      </c>
      <c r="H222">
        <v>10016</v>
      </c>
      <c r="I222">
        <v>1</v>
      </c>
      <c r="J222">
        <v>1</v>
      </c>
      <c r="K222">
        <v>0</v>
      </c>
      <c r="L222">
        <v>1</v>
      </c>
      <c r="M222">
        <v>3</v>
      </c>
      <c r="N222">
        <v>4</v>
      </c>
      <c r="O222">
        <v>0</v>
      </c>
      <c r="P222">
        <v>93554</v>
      </c>
      <c r="Q222">
        <v>0</v>
      </c>
      <c r="R222">
        <v>9</v>
      </c>
      <c r="S222" t="s">
        <v>102</v>
      </c>
      <c r="T222" t="s">
        <v>45</v>
      </c>
      <c r="U222">
        <v>1886</v>
      </c>
      <c r="V222" s="1">
        <v>30941</v>
      </c>
      <c r="W222" t="s">
        <v>68</v>
      </c>
      <c r="X222" t="s">
        <v>59</v>
      </c>
      <c r="Y222" t="s">
        <v>48</v>
      </c>
      <c r="Z222" t="s">
        <v>49</v>
      </c>
      <c r="AA222" t="s">
        <v>89</v>
      </c>
      <c r="AB222" s="1">
        <v>41953</v>
      </c>
      <c r="AD222" t="s">
        <v>51</v>
      </c>
      <c r="AE222" t="s">
        <v>52</v>
      </c>
      <c r="AF222" t="s">
        <v>62</v>
      </c>
      <c r="AG222" t="s">
        <v>63</v>
      </c>
      <c r="AH222">
        <v>4</v>
      </c>
      <c r="AI222" t="s">
        <v>87</v>
      </c>
      <c r="AJ222" t="s">
        <v>56</v>
      </c>
      <c r="AK222">
        <v>4.5999999999999996</v>
      </c>
      <c r="AL222">
        <v>5</v>
      </c>
      <c r="AM222">
        <v>7</v>
      </c>
      <c r="AN222" s="1">
        <v>43469</v>
      </c>
      <c r="AO222">
        <v>0</v>
      </c>
      <c r="AP222">
        <v>16</v>
      </c>
    </row>
    <row r="223" spans="1:42">
      <c r="A223" t="s">
        <v>391</v>
      </c>
      <c r="B223" t="str">
        <f t="shared" si="9"/>
        <v>Hong</v>
      </c>
      <c r="C223" t="str">
        <f t="shared" si="10"/>
        <v>Pham</v>
      </c>
      <c r="D223">
        <f t="shared" ca="1" si="11"/>
        <v>1</v>
      </c>
      <c r="E223" t="str" cm="1">
        <f t="array" ref="E223">_xlfn.IFS(P223&lt;40000, "Low", P223&lt;70000, "MID", P223&lt;100000, "HIGH", P223&gt;=100000, "Executive")</f>
        <v>MID</v>
      </c>
      <c r="F223" t="str" cm="1">
        <f t="array" ref="F223">_xlfn.IFS(AJ223="Exceeds", "Top Performer", AJ223="Fully Meets", "Solid Performer", AJ223="Needs Improvement", "Underperformer", AJ223="PIP", "At Risk")</f>
        <v>Solid Performer</v>
      </c>
      <c r="G223" t="str" cm="1">
        <f t="array" ref="G223">_xlfn.IFS(AE223="Active", "Retained", AE223="Voluntarily Terminated", "Voluntary Exit", AE223="Terminated for Cause", "Involuntary Exit")</f>
        <v>Voluntary Exit</v>
      </c>
      <c r="H223">
        <v>10050</v>
      </c>
      <c r="I223">
        <v>1</v>
      </c>
      <c r="J223">
        <v>1</v>
      </c>
      <c r="K223">
        <v>1</v>
      </c>
      <c r="L223">
        <v>5</v>
      </c>
      <c r="M223">
        <v>5</v>
      </c>
      <c r="N223">
        <v>3</v>
      </c>
      <c r="O223">
        <v>0</v>
      </c>
      <c r="P223">
        <v>64724</v>
      </c>
      <c r="Q223">
        <v>1</v>
      </c>
      <c r="R223">
        <v>19</v>
      </c>
      <c r="S223" t="s">
        <v>44</v>
      </c>
      <c r="T223" t="s">
        <v>45</v>
      </c>
      <c r="U223">
        <v>2451</v>
      </c>
      <c r="V223" s="1">
        <v>32208</v>
      </c>
      <c r="W223" t="s">
        <v>46</v>
      </c>
      <c r="X223" t="s">
        <v>59</v>
      </c>
      <c r="Y223" t="s">
        <v>48</v>
      </c>
      <c r="Z223" t="s">
        <v>49</v>
      </c>
      <c r="AA223" t="s">
        <v>119</v>
      </c>
      <c r="AB223" s="1">
        <v>40729</v>
      </c>
      <c r="AC223" s="1">
        <v>41243</v>
      </c>
      <c r="AD223" t="s">
        <v>200</v>
      </c>
      <c r="AE223" t="s">
        <v>61</v>
      </c>
      <c r="AF223" t="s">
        <v>53</v>
      </c>
      <c r="AG223" t="s">
        <v>90</v>
      </c>
      <c r="AH223">
        <v>12</v>
      </c>
      <c r="AI223" t="s">
        <v>77</v>
      </c>
      <c r="AJ223" t="s">
        <v>65</v>
      </c>
      <c r="AK223">
        <v>5</v>
      </c>
      <c r="AL223">
        <v>3</v>
      </c>
      <c r="AM223">
        <v>0</v>
      </c>
      <c r="AN223" s="1">
        <v>40959</v>
      </c>
      <c r="AO223">
        <v>0</v>
      </c>
      <c r="AP223">
        <v>13</v>
      </c>
    </row>
    <row r="224" spans="1:42">
      <c r="A224" t="s">
        <v>392</v>
      </c>
      <c r="B224" t="str">
        <f t="shared" si="9"/>
        <v>Brad</v>
      </c>
      <c r="C224" t="str">
        <f t="shared" si="10"/>
        <v>Pitt</v>
      </c>
      <c r="D224">
        <f t="shared" ca="1" si="11"/>
        <v>18</v>
      </c>
      <c r="E224" t="str" cm="1">
        <f t="array" ref="E224">_xlfn.IFS(P224&lt;40000, "Low", P224&lt;70000, "MID", P224&lt;100000, "HIGH", P224&gt;=100000, "Executive")</f>
        <v>MID</v>
      </c>
      <c r="F224" t="str" cm="1">
        <f t="array" ref="F224">_xlfn.IFS(AJ224="Exceeds", "Top Performer", AJ224="Fully Meets", "Solid Performer", AJ224="Needs Improvement", "Underperformer", AJ224="PIP", "At Risk")</f>
        <v>Solid Performer</v>
      </c>
      <c r="G224" t="str" cm="1">
        <f t="array" ref="G224">_xlfn.IFS(AE224="Active", "Retained", AE224="Voluntarily Terminated", "Voluntary Exit", AE224="Terminated for Cause", "Involuntary Exit")</f>
        <v>Retained</v>
      </c>
      <c r="H224">
        <v>10164</v>
      </c>
      <c r="I224">
        <v>0</v>
      </c>
      <c r="J224">
        <v>0</v>
      </c>
      <c r="K224">
        <v>1</v>
      </c>
      <c r="L224">
        <v>1</v>
      </c>
      <c r="M224">
        <v>5</v>
      </c>
      <c r="N224">
        <v>3</v>
      </c>
      <c r="O224">
        <v>0</v>
      </c>
      <c r="P224">
        <v>47001</v>
      </c>
      <c r="Q224">
        <v>0</v>
      </c>
      <c r="R224">
        <v>19</v>
      </c>
      <c r="S224" t="s">
        <v>44</v>
      </c>
      <c r="T224" t="s">
        <v>45</v>
      </c>
      <c r="U224">
        <v>2451</v>
      </c>
      <c r="V224" s="1">
        <v>29913</v>
      </c>
      <c r="W224" t="s">
        <v>46</v>
      </c>
      <c r="X224" t="s">
        <v>47</v>
      </c>
      <c r="Y224" t="s">
        <v>48</v>
      </c>
      <c r="Z224" t="s">
        <v>49</v>
      </c>
      <c r="AA224" t="s">
        <v>50</v>
      </c>
      <c r="AB224" s="1">
        <v>39391</v>
      </c>
      <c r="AD224" t="s">
        <v>51</v>
      </c>
      <c r="AE224" t="s">
        <v>52</v>
      </c>
      <c r="AF224" t="s">
        <v>53</v>
      </c>
      <c r="AG224" t="s">
        <v>98</v>
      </c>
      <c r="AH224">
        <v>14</v>
      </c>
      <c r="AI224" t="s">
        <v>77</v>
      </c>
      <c r="AJ224" t="s">
        <v>65</v>
      </c>
      <c r="AK224">
        <v>3.66</v>
      </c>
      <c r="AL224">
        <v>3</v>
      </c>
      <c r="AM224">
        <v>0</v>
      </c>
      <c r="AN224" s="1">
        <v>43521</v>
      </c>
      <c r="AO224">
        <v>0</v>
      </c>
      <c r="AP224">
        <v>15</v>
      </c>
    </row>
    <row r="225" spans="1:42">
      <c r="A225" t="s">
        <v>393</v>
      </c>
      <c r="B225" t="str">
        <f t="shared" si="9"/>
        <v>Xana</v>
      </c>
      <c r="C225" t="str">
        <f t="shared" si="10"/>
        <v>Potts</v>
      </c>
      <c r="D225">
        <f t="shared" ca="1" si="11"/>
        <v>14</v>
      </c>
      <c r="E225" t="str" cm="1">
        <f t="array" ref="E225">_xlfn.IFS(P225&lt;40000, "Low", P225&lt;70000, "MID", P225&lt;100000, "HIGH", P225&gt;=100000, "Executive")</f>
        <v>MID</v>
      </c>
      <c r="F225" t="str" cm="1">
        <f t="array" ref="F225">_xlfn.IFS(AJ225="Exceeds", "Top Performer", AJ225="Fully Meets", "Solid Performer", AJ225="Needs Improvement", "Underperformer", AJ225="PIP", "At Risk")</f>
        <v>Solid Performer</v>
      </c>
      <c r="G225" t="str" cm="1">
        <f t="array" ref="G225">_xlfn.IFS(AE225="Active", "Retained", AE225="Voluntarily Terminated", "Voluntary Exit", AE225="Terminated for Cause", "Involuntary Exit")</f>
        <v>Retained</v>
      </c>
      <c r="H225">
        <v>10124</v>
      </c>
      <c r="I225">
        <v>1</v>
      </c>
      <c r="J225">
        <v>1</v>
      </c>
      <c r="K225">
        <v>0</v>
      </c>
      <c r="L225">
        <v>1</v>
      </c>
      <c r="M225">
        <v>6</v>
      </c>
      <c r="N225">
        <v>3</v>
      </c>
      <c r="O225">
        <v>0</v>
      </c>
      <c r="P225">
        <v>61844</v>
      </c>
      <c r="Q225">
        <v>0</v>
      </c>
      <c r="R225">
        <v>3</v>
      </c>
      <c r="S225" t="s">
        <v>146</v>
      </c>
      <c r="T225" t="s">
        <v>394</v>
      </c>
      <c r="U225">
        <v>40220</v>
      </c>
      <c r="V225" s="1">
        <v>32384</v>
      </c>
      <c r="W225" t="s">
        <v>68</v>
      </c>
      <c r="X225" t="s">
        <v>59</v>
      </c>
      <c r="Y225" t="s">
        <v>48</v>
      </c>
      <c r="Z225" t="s">
        <v>49</v>
      </c>
      <c r="AA225" t="s">
        <v>89</v>
      </c>
      <c r="AB225" s="1">
        <v>40917</v>
      </c>
      <c r="AD225" t="s">
        <v>51</v>
      </c>
      <c r="AE225" t="s">
        <v>52</v>
      </c>
      <c r="AF225" t="s">
        <v>148</v>
      </c>
      <c r="AG225" t="s">
        <v>167</v>
      </c>
      <c r="AH225">
        <v>21</v>
      </c>
      <c r="AI225" t="s">
        <v>208</v>
      </c>
      <c r="AJ225" t="s">
        <v>65</v>
      </c>
      <c r="AK225">
        <v>4.2</v>
      </c>
      <c r="AL225">
        <v>5</v>
      </c>
      <c r="AM225">
        <v>0</v>
      </c>
      <c r="AN225" s="1">
        <v>43497</v>
      </c>
      <c r="AO225">
        <v>0</v>
      </c>
      <c r="AP225">
        <v>9</v>
      </c>
    </row>
    <row r="226" spans="1:42">
      <c r="A226" t="s">
        <v>395</v>
      </c>
      <c r="B226" t="str">
        <f t="shared" si="9"/>
        <v>Morissa</v>
      </c>
      <c r="C226" t="str">
        <f t="shared" si="10"/>
        <v>Power</v>
      </c>
      <c r="D226">
        <f t="shared" ca="1" si="11"/>
        <v>7</v>
      </c>
      <c r="E226" t="str" cm="1">
        <f t="array" ref="E226">_xlfn.IFS(P226&lt;40000, "Low", P226&lt;70000, "MID", P226&lt;100000, "HIGH", P226&gt;=100000, "Executive")</f>
        <v>MID</v>
      </c>
      <c r="F226" t="str" cm="1">
        <f t="array" ref="F226">_xlfn.IFS(AJ226="Exceeds", "Top Performer", AJ226="Fully Meets", "Solid Performer", AJ226="Needs Improvement", "Underperformer", AJ226="PIP", "At Risk")</f>
        <v>Solid Performer</v>
      </c>
      <c r="G226" t="str" cm="1">
        <f t="array" ref="G226">_xlfn.IFS(AE226="Active", "Retained", AE226="Voluntarily Terminated", "Voluntary Exit", AE226="Terminated for Cause", "Involuntary Exit")</f>
        <v>Voluntary Exit</v>
      </c>
      <c r="H226">
        <v>10187</v>
      </c>
      <c r="I226">
        <v>0</v>
      </c>
      <c r="J226">
        <v>2</v>
      </c>
      <c r="K226">
        <v>0</v>
      </c>
      <c r="L226">
        <v>5</v>
      </c>
      <c r="M226">
        <v>5</v>
      </c>
      <c r="N226">
        <v>3</v>
      </c>
      <c r="O226">
        <v>0</v>
      </c>
      <c r="P226">
        <v>46799</v>
      </c>
      <c r="Q226">
        <v>1</v>
      </c>
      <c r="R226">
        <v>19</v>
      </c>
      <c r="S226" t="s">
        <v>44</v>
      </c>
      <c r="T226" t="s">
        <v>45</v>
      </c>
      <c r="U226">
        <v>1742</v>
      </c>
      <c r="V226" s="1">
        <v>30970</v>
      </c>
      <c r="W226" t="s">
        <v>68</v>
      </c>
      <c r="X226" t="s">
        <v>74</v>
      </c>
      <c r="Y226" t="s">
        <v>114</v>
      </c>
      <c r="Z226" t="s">
        <v>49</v>
      </c>
      <c r="AA226" t="s">
        <v>119</v>
      </c>
      <c r="AB226" s="1">
        <v>40679</v>
      </c>
      <c r="AC226" s="1">
        <v>43255</v>
      </c>
      <c r="AD226" t="s">
        <v>97</v>
      </c>
      <c r="AE226" t="s">
        <v>61</v>
      </c>
      <c r="AF226" t="s">
        <v>53</v>
      </c>
      <c r="AG226" t="s">
        <v>70</v>
      </c>
      <c r="AH226">
        <v>20</v>
      </c>
      <c r="AI226" t="s">
        <v>77</v>
      </c>
      <c r="AJ226" t="s">
        <v>65</v>
      </c>
      <c r="AK226">
        <v>3.17</v>
      </c>
      <c r="AL226">
        <v>4</v>
      </c>
      <c r="AM226">
        <v>0</v>
      </c>
      <c r="AN226" s="1">
        <v>43192</v>
      </c>
      <c r="AO226">
        <v>0</v>
      </c>
      <c r="AP226">
        <v>14</v>
      </c>
    </row>
    <row r="227" spans="1:42">
      <c r="A227" t="s">
        <v>396</v>
      </c>
      <c r="B227" t="str">
        <f t="shared" si="9"/>
        <v>Louis</v>
      </c>
      <c r="C227" t="str">
        <f t="shared" si="10"/>
        <v>Punjabhi</v>
      </c>
      <c r="D227">
        <f t="shared" ca="1" si="11"/>
        <v>12</v>
      </c>
      <c r="E227" t="str" cm="1">
        <f t="array" ref="E227">_xlfn.IFS(P227&lt;40000, "Low", P227&lt;70000, "MID", P227&lt;100000, "HIGH", P227&gt;=100000, "Executive")</f>
        <v>MID</v>
      </c>
      <c r="F227" t="str" cm="1">
        <f t="array" ref="F227">_xlfn.IFS(AJ227="Exceeds", "Top Performer", AJ227="Fully Meets", "Solid Performer", AJ227="Needs Improvement", "Underperformer", AJ227="PIP", "At Risk")</f>
        <v>Solid Performer</v>
      </c>
      <c r="G227" t="str" cm="1">
        <f t="array" ref="G227">_xlfn.IFS(AE227="Active", "Retained", AE227="Voluntarily Terminated", "Voluntary Exit", AE227="Terminated for Cause", "Involuntary Exit")</f>
        <v>Retained</v>
      </c>
      <c r="H227">
        <v>10225</v>
      </c>
      <c r="I227">
        <v>0</v>
      </c>
      <c r="J227">
        <v>0</v>
      </c>
      <c r="K227">
        <v>1</v>
      </c>
      <c r="L227">
        <v>1</v>
      </c>
      <c r="M227">
        <v>5</v>
      </c>
      <c r="N227">
        <v>3</v>
      </c>
      <c r="O227">
        <v>0</v>
      </c>
      <c r="P227">
        <v>59472</v>
      </c>
      <c r="Q227">
        <v>0</v>
      </c>
      <c r="R227">
        <v>19</v>
      </c>
      <c r="S227" t="s">
        <v>44</v>
      </c>
      <c r="T227" t="s">
        <v>45</v>
      </c>
      <c r="U227">
        <v>2109</v>
      </c>
      <c r="V227" s="1">
        <v>22451</v>
      </c>
      <c r="W227" t="s">
        <v>46</v>
      </c>
      <c r="X227" t="s">
        <v>47</v>
      </c>
      <c r="Y227" t="s">
        <v>48</v>
      </c>
      <c r="Z227" t="s">
        <v>49</v>
      </c>
      <c r="AA227" t="s">
        <v>50</v>
      </c>
      <c r="AB227" s="1">
        <v>41645</v>
      </c>
      <c r="AD227" t="s">
        <v>51</v>
      </c>
      <c r="AE227" t="s">
        <v>52</v>
      </c>
      <c r="AF227" t="s">
        <v>53</v>
      </c>
      <c r="AG227" t="s">
        <v>106</v>
      </c>
      <c r="AH227">
        <v>18</v>
      </c>
      <c r="AI227" t="s">
        <v>87</v>
      </c>
      <c r="AJ227" t="s">
        <v>65</v>
      </c>
      <c r="AK227">
        <v>4.8</v>
      </c>
      <c r="AL227">
        <v>3</v>
      </c>
      <c r="AM227">
        <v>0</v>
      </c>
      <c r="AN227" s="1">
        <v>43472</v>
      </c>
      <c r="AO227">
        <v>0</v>
      </c>
      <c r="AP227">
        <v>14</v>
      </c>
    </row>
    <row r="228" spans="1:42">
      <c r="A228" t="s">
        <v>397</v>
      </c>
      <c r="B228" t="str">
        <f t="shared" si="9"/>
        <v>Janine</v>
      </c>
      <c r="C228" t="str">
        <f t="shared" si="10"/>
        <v>Purinton</v>
      </c>
      <c r="D228">
        <f t="shared" ca="1" si="11"/>
        <v>0</v>
      </c>
      <c r="E228" t="str" cm="1">
        <f t="array" ref="E228">_xlfn.IFS(P228&lt;40000, "Low", P228&lt;70000, "MID", P228&lt;100000, "HIGH", P228&gt;=100000, "Executive")</f>
        <v>MID</v>
      </c>
      <c r="F228" t="str" cm="1">
        <f t="array" ref="F228">_xlfn.IFS(AJ228="Exceeds", "Top Performer", AJ228="Fully Meets", "Solid Performer", AJ228="Needs Improvement", "Underperformer", AJ228="PIP", "At Risk")</f>
        <v>Solid Performer</v>
      </c>
      <c r="G228" t="str" cm="1">
        <f t="array" ref="G228">_xlfn.IFS(AE228="Active", "Retained", AE228="Voluntarily Terminated", "Voluntary Exit", AE228="Terminated for Cause", "Involuntary Exit")</f>
        <v>Voluntary Exit</v>
      </c>
      <c r="H228">
        <v>10262</v>
      </c>
      <c r="I228">
        <v>0</v>
      </c>
      <c r="J228">
        <v>2</v>
      </c>
      <c r="K228">
        <v>0</v>
      </c>
      <c r="L228">
        <v>5</v>
      </c>
      <c r="M228">
        <v>5</v>
      </c>
      <c r="N228">
        <v>3</v>
      </c>
      <c r="O228">
        <v>0</v>
      </c>
      <c r="P228">
        <v>46430</v>
      </c>
      <c r="Q228">
        <v>1</v>
      </c>
      <c r="R228">
        <v>19</v>
      </c>
      <c r="S228" t="s">
        <v>44</v>
      </c>
      <c r="T228" t="s">
        <v>45</v>
      </c>
      <c r="U228">
        <v>2474</v>
      </c>
      <c r="V228" s="1">
        <v>25833</v>
      </c>
      <c r="W228" t="s">
        <v>68</v>
      </c>
      <c r="X228" t="s">
        <v>74</v>
      </c>
      <c r="Y228" t="s">
        <v>48</v>
      </c>
      <c r="Z228" t="s">
        <v>49</v>
      </c>
      <c r="AA228" t="s">
        <v>50</v>
      </c>
      <c r="AB228" s="1">
        <v>41176</v>
      </c>
      <c r="AC228" s="1">
        <v>41443</v>
      </c>
      <c r="AD228" t="s">
        <v>100</v>
      </c>
      <c r="AE228" t="s">
        <v>61</v>
      </c>
      <c r="AF228" t="s">
        <v>53</v>
      </c>
      <c r="AG228" t="s">
        <v>70</v>
      </c>
      <c r="AH228">
        <v>20</v>
      </c>
      <c r="AI228" t="s">
        <v>64</v>
      </c>
      <c r="AJ228" t="s">
        <v>65</v>
      </c>
      <c r="AK228">
        <v>4.5</v>
      </c>
      <c r="AL228">
        <v>5</v>
      </c>
      <c r="AM228">
        <v>0</v>
      </c>
      <c r="AN228" s="1">
        <v>41366</v>
      </c>
      <c r="AO228">
        <v>0</v>
      </c>
      <c r="AP228">
        <v>16</v>
      </c>
    </row>
    <row r="229" spans="1:42">
      <c r="A229" t="s">
        <v>398</v>
      </c>
      <c r="B229" t="str">
        <f t="shared" si="9"/>
        <v>Sean</v>
      </c>
      <c r="C229" t="str">
        <f t="shared" si="10"/>
        <v>Quinn</v>
      </c>
      <c r="D229">
        <f t="shared" ca="1" si="11"/>
        <v>4</v>
      </c>
      <c r="E229" t="str" cm="1">
        <f t="array" ref="E229">_xlfn.IFS(P229&lt;40000, "Low", P229&lt;70000, "MID", P229&lt;100000, "HIGH", P229&gt;=100000, "Executive")</f>
        <v>HIGH</v>
      </c>
      <c r="F229" t="str" cm="1">
        <f t="array" ref="F229">_xlfn.IFS(AJ229="Exceeds", "Top Performer", AJ229="Fully Meets", "Solid Performer", AJ229="Needs Improvement", "Underperformer", AJ229="PIP", "At Risk")</f>
        <v>Solid Performer</v>
      </c>
      <c r="G229" t="str" cm="1">
        <f t="array" ref="G229">_xlfn.IFS(AE229="Active", "Retained", AE229="Voluntarily Terminated", "Voluntary Exit", AE229="Terminated for Cause", "Involuntary Exit")</f>
        <v>Voluntary Exit</v>
      </c>
      <c r="H229">
        <v>10131</v>
      </c>
      <c r="I229">
        <v>1</v>
      </c>
      <c r="J229">
        <v>1</v>
      </c>
      <c r="K229">
        <v>1</v>
      </c>
      <c r="L229">
        <v>5</v>
      </c>
      <c r="M229">
        <v>1</v>
      </c>
      <c r="N229">
        <v>3</v>
      </c>
      <c r="O229">
        <v>1</v>
      </c>
      <c r="P229">
        <v>83363</v>
      </c>
      <c r="Q229">
        <v>1</v>
      </c>
      <c r="R229">
        <v>23</v>
      </c>
      <c r="S229" t="s">
        <v>81</v>
      </c>
      <c r="T229" t="s">
        <v>45</v>
      </c>
      <c r="U229">
        <v>2045</v>
      </c>
      <c r="V229" s="1">
        <v>30992</v>
      </c>
      <c r="W229" t="s">
        <v>46</v>
      </c>
      <c r="X229" t="s">
        <v>59</v>
      </c>
      <c r="Y229" t="s">
        <v>114</v>
      </c>
      <c r="Z229" t="s">
        <v>49</v>
      </c>
      <c r="AA229" t="s">
        <v>89</v>
      </c>
      <c r="AB229" s="1">
        <v>40595</v>
      </c>
      <c r="AC229" s="1">
        <v>42231</v>
      </c>
      <c r="AD229" t="s">
        <v>60</v>
      </c>
      <c r="AE229" t="s">
        <v>61</v>
      </c>
      <c r="AF229" t="s">
        <v>82</v>
      </c>
      <c r="AG229" t="s">
        <v>138</v>
      </c>
      <c r="AH229">
        <v>2</v>
      </c>
      <c r="AI229" t="s">
        <v>91</v>
      </c>
      <c r="AJ229" t="s">
        <v>65</v>
      </c>
      <c r="AK229">
        <v>4.1500000000000004</v>
      </c>
      <c r="AL229">
        <v>4</v>
      </c>
      <c r="AM229">
        <v>0</v>
      </c>
      <c r="AN229" s="1">
        <v>41748</v>
      </c>
      <c r="AO229">
        <v>0</v>
      </c>
      <c r="AP229">
        <v>4</v>
      </c>
    </row>
    <row r="230" spans="1:42">
      <c r="A230" t="s">
        <v>399</v>
      </c>
      <c r="B230" t="str">
        <f t="shared" si="9"/>
        <v>Maggie</v>
      </c>
      <c r="C230" t="str">
        <f t="shared" si="10"/>
        <v>Rachael</v>
      </c>
      <c r="D230">
        <f t="shared" ca="1" si="11"/>
        <v>9</v>
      </c>
      <c r="E230" t="str" cm="1">
        <f t="array" ref="E230">_xlfn.IFS(P230&lt;40000, "Low", P230&lt;70000, "MID", P230&lt;100000, "HIGH", P230&gt;=100000, "Executive")</f>
        <v>HIGH</v>
      </c>
      <c r="F230" t="str" cm="1">
        <f t="array" ref="F230">_xlfn.IFS(AJ230="Exceeds", "Top Performer", AJ230="Fully Meets", "Solid Performer", AJ230="Needs Improvement", "Underperformer", AJ230="PIP", "At Risk")</f>
        <v>Solid Performer</v>
      </c>
      <c r="G230" t="str" cm="1">
        <f t="array" ref="G230">_xlfn.IFS(AE230="Active", "Retained", AE230="Voluntarily Terminated", "Voluntary Exit", AE230="Terminated for Cause", "Involuntary Exit")</f>
        <v>Retained</v>
      </c>
      <c r="H230">
        <v>10239</v>
      </c>
      <c r="I230">
        <v>1</v>
      </c>
      <c r="J230">
        <v>1</v>
      </c>
      <c r="K230">
        <v>0</v>
      </c>
      <c r="L230">
        <v>1</v>
      </c>
      <c r="M230">
        <v>3</v>
      </c>
      <c r="N230">
        <v>3</v>
      </c>
      <c r="O230">
        <v>0</v>
      </c>
      <c r="P230">
        <v>95920</v>
      </c>
      <c r="Q230">
        <v>0</v>
      </c>
      <c r="R230">
        <v>4</v>
      </c>
      <c r="S230" t="s">
        <v>203</v>
      </c>
      <c r="T230" t="s">
        <v>45</v>
      </c>
      <c r="U230">
        <v>2110</v>
      </c>
      <c r="V230" s="1">
        <v>29353</v>
      </c>
      <c r="W230" t="s">
        <v>68</v>
      </c>
      <c r="X230" t="s">
        <v>59</v>
      </c>
      <c r="Y230" t="s">
        <v>48</v>
      </c>
      <c r="Z230" t="s">
        <v>49</v>
      </c>
      <c r="AA230" t="s">
        <v>89</v>
      </c>
      <c r="AB230" s="1">
        <v>42645</v>
      </c>
      <c r="AD230" t="s">
        <v>51</v>
      </c>
      <c r="AE230" t="s">
        <v>52</v>
      </c>
      <c r="AF230" t="s">
        <v>62</v>
      </c>
      <c r="AG230" t="s">
        <v>204</v>
      </c>
      <c r="AH230">
        <v>13</v>
      </c>
      <c r="AI230" t="s">
        <v>64</v>
      </c>
      <c r="AJ230" t="s">
        <v>65</v>
      </c>
      <c r="AK230">
        <v>4.4000000000000004</v>
      </c>
      <c r="AL230">
        <v>4</v>
      </c>
      <c r="AM230">
        <v>6</v>
      </c>
      <c r="AN230" s="1">
        <v>43502</v>
      </c>
      <c r="AO230">
        <v>0</v>
      </c>
      <c r="AP230">
        <v>10</v>
      </c>
    </row>
    <row r="231" spans="1:42">
      <c r="A231" t="s">
        <v>400</v>
      </c>
      <c r="B231" t="str">
        <f t="shared" si="9"/>
        <v>Quinn</v>
      </c>
      <c r="C231" t="str">
        <f t="shared" si="10"/>
        <v>Rarrick</v>
      </c>
      <c r="D231">
        <f t="shared" ca="1" si="11"/>
        <v>6</v>
      </c>
      <c r="E231" t="str" cm="1">
        <f t="array" ref="E231">_xlfn.IFS(P231&lt;40000, "Low", P231&lt;70000, "MID", P231&lt;100000, "HIGH", P231&gt;=100000, "Executive")</f>
        <v>MID</v>
      </c>
      <c r="F231" t="str" cm="1">
        <f t="array" ref="F231">_xlfn.IFS(AJ231="Exceeds", "Top Performer", AJ231="Fully Meets", "Solid Performer", AJ231="Needs Improvement", "Underperformer", AJ231="PIP", "At Risk")</f>
        <v>Solid Performer</v>
      </c>
      <c r="G231" t="str" cm="1">
        <f t="array" ref="G231">_xlfn.IFS(AE231="Active", "Retained", AE231="Voluntarily Terminated", "Voluntary Exit", AE231="Terminated for Cause", "Involuntary Exit")</f>
        <v>Voluntary Exit</v>
      </c>
      <c r="H231">
        <v>10152</v>
      </c>
      <c r="I231">
        <v>0</v>
      </c>
      <c r="J231">
        <v>2</v>
      </c>
      <c r="K231">
        <v>1</v>
      </c>
      <c r="L231">
        <v>5</v>
      </c>
      <c r="M231">
        <v>5</v>
      </c>
      <c r="N231">
        <v>3</v>
      </c>
      <c r="O231">
        <v>0</v>
      </c>
      <c r="P231">
        <v>61729</v>
      </c>
      <c r="Q231">
        <v>1</v>
      </c>
      <c r="R231">
        <v>19</v>
      </c>
      <c r="S231" t="s">
        <v>44</v>
      </c>
      <c r="T231" t="s">
        <v>45</v>
      </c>
      <c r="U231">
        <v>2478</v>
      </c>
      <c r="V231" s="1">
        <v>31047</v>
      </c>
      <c r="W231" t="s">
        <v>46</v>
      </c>
      <c r="X231" t="s">
        <v>74</v>
      </c>
      <c r="Y231" t="s">
        <v>48</v>
      </c>
      <c r="Z231" t="s">
        <v>49</v>
      </c>
      <c r="AA231" t="s">
        <v>50</v>
      </c>
      <c r="AB231" s="1">
        <v>40812</v>
      </c>
      <c r="AC231" s="1">
        <v>43197</v>
      </c>
      <c r="AD231" t="s">
        <v>200</v>
      </c>
      <c r="AE231" t="s">
        <v>61</v>
      </c>
      <c r="AF231" t="s">
        <v>53</v>
      </c>
      <c r="AG231" t="s">
        <v>54</v>
      </c>
      <c r="AH231">
        <v>22</v>
      </c>
      <c r="AI231" t="s">
        <v>64</v>
      </c>
      <c r="AJ231" t="s">
        <v>65</v>
      </c>
      <c r="AK231">
        <v>3.8</v>
      </c>
      <c r="AL231">
        <v>5</v>
      </c>
      <c r="AM231">
        <v>0</v>
      </c>
      <c r="AN231" s="1">
        <v>43135</v>
      </c>
      <c r="AO231">
        <v>0</v>
      </c>
      <c r="AP231">
        <v>19</v>
      </c>
    </row>
    <row r="232" spans="1:42">
      <c r="A232" t="s">
        <v>401</v>
      </c>
      <c r="B232" t="str">
        <f t="shared" si="9"/>
        <v>Kylo</v>
      </c>
      <c r="C232" t="str">
        <f t="shared" si="10"/>
        <v>Ren</v>
      </c>
      <c r="D232">
        <f t="shared" ca="1" si="11"/>
        <v>11</v>
      </c>
      <c r="E232" t="str" cm="1">
        <f t="array" ref="E232">_xlfn.IFS(P232&lt;40000, "Low", P232&lt;70000, "MID", P232&lt;100000, "HIGH", P232&gt;=100000, "Executive")</f>
        <v>MID</v>
      </c>
      <c r="F232" t="str" cm="1">
        <f t="array" ref="F232">_xlfn.IFS(AJ232="Exceeds", "Top Performer", AJ232="Fully Meets", "Solid Performer", AJ232="Needs Improvement", "Underperformer", AJ232="PIP", "At Risk")</f>
        <v>Solid Performer</v>
      </c>
      <c r="G232" t="str" cm="1">
        <f t="array" ref="G232">_xlfn.IFS(AE232="Active", "Retained", AE232="Voluntarily Terminated", "Voluntary Exit", AE232="Terminated for Cause", "Involuntary Exit")</f>
        <v>Retained</v>
      </c>
      <c r="H232">
        <v>10140</v>
      </c>
      <c r="I232">
        <v>1</v>
      </c>
      <c r="J232">
        <v>1</v>
      </c>
      <c r="K232">
        <v>1</v>
      </c>
      <c r="L232">
        <v>1</v>
      </c>
      <c r="M232">
        <v>6</v>
      </c>
      <c r="N232">
        <v>3</v>
      </c>
      <c r="O232">
        <v>0</v>
      </c>
      <c r="P232">
        <v>61809</v>
      </c>
      <c r="Q232">
        <v>0</v>
      </c>
      <c r="R232">
        <v>3</v>
      </c>
      <c r="S232" t="s">
        <v>146</v>
      </c>
      <c r="T232" t="s">
        <v>402</v>
      </c>
      <c r="U232">
        <v>83706</v>
      </c>
      <c r="V232" s="1">
        <v>20009</v>
      </c>
      <c r="W232" t="s">
        <v>46</v>
      </c>
      <c r="X232" t="s">
        <v>59</v>
      </c>
      <c r="Y232" t="s">
        <v>48</v>
      </c>
      <c r="Z232" t="s">
        <v>49</v>
      </c>
      <c r="AA232" t="s">
        <v>50</v>
      </c>
      <c r="AB232" s="1">
        <v>41771</v>
      </c>
      <c r="AD232" t="s">
        <v>51</v>
      </c>
      <c r="AE232" t="s">
        <v>52</v>
      </c>
      <c r="AF232" t="s">
        <v>148</v>
      </c>
      <c r="AG232" t="s">
        <v>149</v>
      </c>
      <c r="AH232">
        <v>17</v>
      </c>
      <c r="AI232" t="s">
        <v>124</v>
      </c>
      <c r="AJ232" t="s">
        <v>65</v>
      </c>
      <c r="AK232">
        <v>3.98</v>
      </c>
      <c r="AL232">
        <v>3</v>
      </c>
      <c r="AM232">
        <v>0</v>
      </c>
      <c r="AN232" s="1">
        <v>43493</v>
      </c>
      <c r="AO232">
        <v>0</v>
      </c>
      <c r="AP232">
        <v>4</v>
      </c>
    </row>
    <row r="233" spans="1:42">
      <c r="A233" t="s">
        <v>403</v>
      </c>
      <c r="B233" t="str">
        <f t="shared" si="9"/>
        <v>Thomas</v>
      </c>
      <c r="C233" t="str">
        <f t="shared" si="10"/>
        <v>Rhoads</v>
      </c>
      <c r="D233">
        <f t="shared" ca="1" si="11"/>
        <v>4</v>
      </c>
      <c r="E233" t="str" cm="1">
        <f t="array" ref="E233">_xlfn.IFS(P233&lt;40000, "Low", P233&lt;70000, "MID", P233&lt;100000, "HIGH", P233&gt;=100000, "Executive")</f>
        <v>MID</v>
      </c>
      <c r="F233" t="str" cm="1">
        <f t="array" ref="F233">_xlfn.IFS(AJ233="Exceeds", "Top Performer", AJ233="Fully Meets", "Solid Performer", AJ233="Needs Improvement", "Underperformer", AJ233="PIP", "At Risk")</f>
        <v>Solid Performer</v>
      </c>
      <c r="G233" t="str" cm="1">
        <f t="array" ref="G233">_xlfn.IFS(AE233="Active", "Retained", AE233="Voluntarily Terminated", "Voluntary Exit", AE233="Terminated for Cause", "Involuntary Exit")</f>
        <v>Voluntary Exit</v>
      </c>
      <c r="H233">
        <v>10058</v>
      </c>
      <c r="I233">
        <v>0</v>
      </c>
      <c r="J233">
        <v>2</v>
      </c>
      <c r="K233">
        <v>1</v>
      </c>
      <c r="L233">
        <v>5</v>
      </c>
      <c r="M233">
        <v>5</v>
      </c>
      <c r="N233">
        <v>3</v>
      </c>
      <c r="O233">
        <v>0</v>
      </c>
      <c r="P233">
        <v>45115</v>
      </c>
      <c r="Q233">
        <v>1</v>
      </c>
      <c r="R233">
        <v>19</v>
      </c>
      <c r="S233" t="s">
        <v>44</v>
      </c>
      <c r="T233" t="s">
        <v>45</v>
      </c>
      <c r="U233">
        <v>2176</v>
      </c>
      <c r="V233" s="1">
        <v>30154</v>
      </c>
      <c r="W233" t="s">
        <v>46</v>
      </c>
      <c r="X233" t="s">
        <v>74</v>
      </c>
      <c r="Y233" t="s">
        <v>48</v>
      </c>
      <c r="Z233" t="s">
        <v>96</v>
      </c>
      <c r="AA233" t="s">
        <v>50</v>
      </c>
      <c r="AB233" s="1">
        <v>40679</v>
      </c>
      <c r="AC233" s="1">
        <v>42384</v>
      </c>
      <c r="AD233" t="s">
        <v>137</v>
      </c>
      <c r="AE233" t="s">
        <v>61</v>
      </c>
      <c r="AF233" t="s">
        <v>53</v>
      </c>
      <c r="AG233" t="s">
        <v>72</v>
      </c>
      <c r="AH233">
        <v>16</v>
      </c>
      <c r="AI233" t="s">
        <v>55</v>
      </c>
      <c r="AJ233" t="s">
        <v>65</v>
      </c>
      <c r="AK233">
        <v>5</v>
      </c>
      <c r="AL233">
        <v>4</v>
      </c>
      <c r="AM233">
        <v>0</v>
      </c>
      <c r="AN233" s="1">
        <v>42093</v>
      </c>
      <c r="AO233">
        <v>0</v>
      </c>
      <c r="AP233">
        <v>11</v>
      </c>
    </row>
    <row r="234" spans="1:42">
      <c r="A234" t="s">
        <v>404</v>
      </c>
      <c r="B234" t="str">
        <f t="shared" si="9"/>
        <v>Haley</v>
      </c>
      <c r="C234" t="str">
        <f t="shared" si="10"/>
        <v>Rivera</v>
      </c>
      <c r="D234">
        <f t="shared" ca="1" si="11"/>
        <v>14</v>
      </c>
      <c r="E234" t="str" cm="1">
        <f t="array" ref="E234">_xlfn.IFS(P234&lt;40000, "Low", P234&lt;70000, "MID", P234&lt;100000, "HIGH", P234&gt;=100000, "Executive")</f>
        <v>MID</v>
      </c>
      <c r="F234" t="str" cm="1">
        <f t="array" ref="F234">_xlfn.IFS(AJ234="Exceeds", "Top Performer", AJ234="Fully Meets", "Solid Performer", AJ234="Needs Improvement", "Underperformer", AJ234="PIP", "At Risk")</f>
        <v>Top Performer</v>
      </c>
      <c r="G234" t="str" cm="1">
        <f t="array" ref="G234">_xlfn.IFS(AE234="Active", "Retained", AE234="Voluntarily Terminated", "Voluntary Exit", AE234="Terminated for Cause", "Involuntary Exit")</f>
        <v>Retained</v>
      </c>
      <c r="H234">
        <v>10011</v>
      </c>
      <c r="I234">
        <v>1</v>
      </c>
      <c r="J234">
        <v>1</v>
      </c>
      <c r="K234">
        <v>0</v>
      </c>
      <c r="L234">
        <v>1</v>
      </c>
      <c r="M234">
        <v>5</v>
      </c>
      <c r="N234">
        <v>4</v>
      </c>
      <c r="O234">
        <v>0</v>
      </c>
      <c r="P234">
        <v>46738</v>
      </c>
      <c r="Q234">
        <v>0</v>
      </c>
      <c r="R234">
        <v>19</v>
      </c>
      <c r="S234" t="s">
        <v>44</v>
      </c>
      <c r="T234" t="s">
        <v>45</v>
      </c>
      <c r="U234">
        <v>2171</v>
      </c>
      <c r="V234" s="1">
        <v>26676</v>
      </c>
      <c r="W234" t="s">
        <v>68</v>
      </c>
      <c r="X234" t="s">
        <v>59</v>
      </c>
      <c r="Y234" t="s">
        <v>48</v>
      </c>
      <c r="Z234" t="s">
        <v>49</v>
      </c>
      <c r="AA234" t="s">
        <v>119</v>
      </c>
      <c r="AB234" s="1">
        <v>40875</v>
      </c>
      <c r="AD234" t="s">
        <v>51</v>
      </c>
      <c r="AE234" t="s">
        <v>52</v>
      </c>
      <c r="AF234" t="s">
        <v>53</v>
      </c>
      <c r="AG234" t="s">
        <v>76</v>
      </c>
      <c r="AI234" t="s">
        <v>77</v>
      </c>
      <c r="AJ234" t="s">
        <v>56</v>
      </c>
      <c r="AK234">
        <v>4.3600000000000003</v>
      </c>
      <c r="AL234">
        <v>5</v>
      </c>
      <c r="AM234">
        <v>0</v>
      </c>
      <c r="AN234" s="1">
        <v>43507</v>
      </c>
      <c r="AO234">
        <v>0</v>
      </c>
      <c r="AP234">
        <v>16</v>
      </c>
    </row>
    <row r="235" spans="1:42">
      <c r="A235" t="s">
        <v>405</v>
      </c>
      <c r="B235" t="str">
        <f t="shared" si="9"/>
        <v>May</v>
      </c>
      <c r="C235" t="str">
        <f t="shared" si="10"/>
        <v>Roberson</v>
      </c>
      <c r="D235">
        <f t="shared" ca="1" si="11"/>
        <v>0</v>
      </c>
      <c r="E235" t="str" cm="1">
        <f t="array" ref="E235">_xlfn.IFS(P235&lt;40000, "Low", P235&lt;70000, "MID", P235&lt;100000, "HIGH", P235&gt;=100000, "Executive")</f>
        <v>MID</v>
      </c>
      <c r="F235" t="str" cm="1">
        <f t="array" ref="F235">_xlfn.IFS(AJ235="Exceeds", "Top Performer", AJ235="Fully Meets", "Solid Performer", AJ235="Needs Improvement", "Underperformer", AJ235="PIP", "At Risk")</f>
        <v>Solid Performer</v>
      </c>
      <c r="G235" t="str" cm="1">
        <f t="array" ref="G235">_xlfn.IFS(AE235="Active", "Retained", AE235="Voluntarily Terminated", "Voluntary Exit", AE235="Terminated for Cause", "Involuntary Exit")</f>
        <v>Voluntary Exit</v>
      </c>
      <c r="H235">
        <v>10230</v>
      </c>
      <c r="I235">
        <v>0</v>
      </c>
      <c r="J235">
        <v>2</v>
      </c>
      <c r="K235">
        <v>0</v>
      </c>
      <c r="L235">
        <v>5</v>
      </c>
      <c r="M235">
        <v>5</v>
      </c>
      <c r="N235">
        <v>3</v>
      </c>
      <c r="O235">
        <v>0</v>
      </c>
      <c r="P235">
        <v>64971</v>
      </c>
      <c r="Q235">
        <v>1</v>
      </c>
      <c r="R235">
        <v>20</v>
      </c>
      <c r="S235" t="s">
        <v>67</v>
      </c>
      <c r="T235" t="s">
        <v>45</v>
      </c>
      <c r="U235">
        <v>1902</v>
      </c>
      <c r="V235" s="1">
        <v>29834</v>
      </c>
      <c r="W235" t="s">
        <v>68</v>
      </c>
      <c r="X235" t="s">
        <v>74</v>
      </c>
      <c r="Y235" t="s">
        <v>114</v>
      </c>
      <c r="Z235" t="s">
        <v>49</v>
      </c>
      <c r="AA235" t="s">
        <v>89</v>
      </c>
      <c r="AB235" s="1">
        <v>40812</v>
      </c>
      <c r="AC235" s="1">
        <v>40838</v>
      </c>
      <c r="AD235" t="s">
        <v>75</v>
      </c>
      <c r="AE235" t="s">
        <v>61</v>
      </c>
      <c r="AF235" t="s">
        <v>53</v>
      </c>
      <c r="AG235" t="s">
        <v>98</v>
      </c>
      <c r="AH235">
        <v>14</v>
      </c>
      <c r="AI235" t="s">
        <v>77</v>
      </c>
      <c r="AJ235" t="s">
        <v>65</v>
      </c>
      <c r="AK235">
        <v>4.5</v>
      </c>
      <c r="AL235">
        <v>4</v>
      </c>
      <c r="AM235">
        <v>0</v>
      </c>
      <c r="AN235" s="1">
        <v>40838</v>
      </c>
      <c r="AO235">
        <v>0</v>
      </c>
      <c r="AP235">
        <v>10</v>
      </c>
    </row>
    <row r="236" spans="1:42">
      <c r="A236" t="s">
        <v>406</v>
      </c>
      <c r="B236" t="str">
        <f t="shared" si="9"/>
        <v>Peter</v>
      </c>
      <c r="C236" t="str">
        <f t="shared" si="10"/>
        <v>Robertson</v>
      </c>
      <c r="D236">
        <f t="shared" ca="1" si="11"/>
        <v>0</v>
      </c>
      <c r="E236" t="str" cm="1">
        <f t="array" ref="E236">_xlfn.IFS(P236&lt;40000, "Low", P236&lt;70000, "MID", P236&lt;100000, "HIGH", P236&gt;=100000, "Executive")</f>
        <v>MID</v>
      </c>
      <c r="F236" t="str" cm="1">
        <f t="array" ref="F236">_xlfn.IFS(AJ236="Exceeds", "Top Performer", AJ236="Fully Meets", "Solid Performer", AJ236="Needs Improvement", "Underperformer", AJ236="PIP", "At Risk")</f>
        <v>Solid Performer</v>
      </c>
      <c r="G236" t="str" cm="1">
        <f t="array" ref="G236">_xlfn.IFS(AE236="Active", "Retained", AE236="Voluntarily Terminated", "Voluntary Exit", AE236="Terminated for Cause", "Involuntary Exit")</f>
        <v>Voluntary Exit</v>
      </c>
      <c r="H236">
        <v>10224</v>
      </c>
      <c r="I236">
        <v>1</v>
      </c>
      <c r="J236">
        <v>1</v>
      </c>
      <c r="K236">
        <v>1</v>
      </c>
      <c r="L236">
        <v>5</v>
      </c>
      <c r="M236">
        <v>5</v>
      </c>
      <c r="N236">
        <v>3</v>
      </c>
      <c r="O236">
        <v>0</v>
      </c>
      <c r="P236">
        <v>55578</v>
      </c>
      <c r="Q236">
        <v>1</v>
      </c>
      <c r="R236">
        <v>20</v>
      </c>
      <c r="S236" t="s">
        <v>67</v>
      </c>
      <c r="T236" t="s">
        <v>45</v>
      </c>
      <c r="U236">
        <v>2138</v>
      </c>
      <c r="V236" s="1">
        <v>26483</v>
      </c>
      <c r="W236" t="s">
        <v>46</v>
      </c>
      <c r="X236" t="s">
        <v>59</v>
      </c>
      <c r="Y236" t="s">
        <v>48</v>
      </c>
      <c r="Z236" t="s">
        <v>49</v>
      </c>
      <c r="AA236" t="s">
        <v>50</v>
      </c>
      <c r="AB236" s="1">
        <v>40729</v>
      </c>
      <c r="AC236" s="1">
        <v>40947</v>
      </c>
      <c r="AD236" t="s">
        <v>97</v>
      </c>
      <c r="AE236" t="s">
        <v>61</v>
      </c>
      <c r="AF236" t="s">
        <v>53</v>
      </c>
      <c r="AG236" t="s">
        <v>70</v>
      </c>
      <c r="AH236">
        <v>20</v>
      </c>
      <c r="AI236" t="s">
        <v>64</v>
      </c>
      <c r="AJ236" t="s">
        <v>65</v>
      </c>
      <c r="AK236">
        <v>4.2</v>
      </c>
      <c r="AL236">
        <v>5</v>
      </c>
      <c r="AM236">
        <v>0</v>
      </c>
      <c r="AN236" s="1">
        <v>40914</v>
      </c>
      <c r="AO236">
        <v>0</v>
      </c>
      <c r="AP236">
        <v>13</v>
      </c>
    </row>
    <row r="237" spans="1:42">
      <c r="A237" t="s">
        <v>407</v>
      </c>
      <c r="B237" t="str">
        <f t="shared" si="9"/>
        <v>Alain</v>
      </c>
      <c r="C237" t="str">
        <f t="shared" si="10"/>
        <v>Robinson</v>
      </c>
      <c r="D237">
        <f t="shared" ca="1" si="11"/>
        <v>5</v>
      </c>
      <c r="E237" t="str" cm="1">
        <f t="array" ref="E237">_xlfn.IFS(P237&lt;40000, "Low", P237&lt;70000, "MID", P237&lt;100000, "HIGH", P237&gt;=100000, "Executive")</f>
        <v>MID</v>
      </c>
      <c r="F237" t="str" cm="1">
        <f t="array" ref="F237">_xlfn.IFS(AJ237="Exceeds", "Top Performer", AJ237="Fully Meets", "Solid Performer", AJ237="Needs Improvement", "Underperformer", AJ237="PIP", "At Risk")</f>
        <v>Solid Performer</v>
      </c>
      <c r="G237" t="str" cm="1">
        <f t="array" ref="G237">_xlfn.IFS(AE237="Active", "Retained", AE237="Voluntarily Terminated", "Voluntary Exit", AE237="Terminated for Cause", "Involuntary Exit")</f>
        <v>Voluntary Exit</v>
      </c>
      <c r="H237">
        <v>10047</v>
      </c>
      <c r="I237">
        <v>1</v>
      </c>
      <c r="J237">
        <v>1</v>
      </c>
      <c r="K237">
        <v>1</v>
      </c>
      <c r="L237">
        <v>5</v>
      </c>
      <c r="M237">
        <v>5</v>
      </c>
      <c r="N237">
        <v>3</v>
      </c>
      <c r="O237">
        <v>0</v>
      </c>
      <c r="P237">
        <v>50428</v>
      </c>
      <c r="Q237">
        <v>1</v>
      </c>
      <c r="R237">
        <v>19</v>
      </c>
      <c r="S237" t="s">
        <v>44</v>
      </c>
      <c r="T237" t="s">
        <v>45</v>
      </c>
      <c r="U237">
        <v>1420</v>
      </c>
      <c r="V237" s="1">
        <v>27036</v>
      </c>
      <c r="W237" t="s">
        <v>46</v>
      </c>
      <c r="X237" t="s">
        <v>59</v>
      </c>
      <c r="Y237" t="s">
        <v>48</v>
      </c>
      <c r="Z237" t="s">
        <v>49</v>
      </c>
      <c r="AA237" t="s">
        <v>89</v>
      </c>
      <c r="AB237" s="1">
        <v>40553</v>
      </c>
      <c r="AC237" s="1">
        <v>42395</v>
      </c>
      <c r="AD237" t="s">
        <v>110</v>
      </c>
      <c r="AE237" t="s">
        <v>61</v>
      </c>
      <c r="AF237" t="s">
        <v>53</v>
      </c>
      <c r="AG237" t="s">
        <v>79</v>
      </c>
      <c r="AH237">
        <v>11</v>
      </c>
      <c r="AI237" t="s">
        <v>64</v>
      </c>
      <c r="AJ237" t="s">
        <v>65</v>
      </c>
      <c r="AK237">
        <v>5</v>
      </c>
      <c r="AL237">
        <v>3</v>
      </c>
      <c r="AM237">
        <v>0</v>
      </c>
      <c r="AN237" s="1">
        <v>42014</v>
      </c>
      <c r="AO237">
        <v>0</v>
      </c>
      <c r="AP237">
        <v>11</v>
      </c>
    </row>
    <row r="238" spans="1:42">
      <c r="A238" t="s">
        <v>408</v>
      </c>
      <c r="B238" t="str">
        <f t="shared" si="9"/>
        <v>Cherly</v>
      </c>
      <c r="C238" t="str">
        <f t="shared" si="10"/>
        <v>Robinson</v>
      </c>
      <c r="D238">
        <f t="shared" ca="1" si="11"/>
        <v>5</v>
      </c>
      <c r="E238" t="str" cm="1">
        <f t="array" ref="E238">_xlfn.IFS(P238&lt;40000, "Low", P238&lt;70000, "MID", P238&lt;100000, "HIGH", P238&gt;=100000, "Executive")</f>
        <v>MID</v>
      </c>
      <c r="F238" t="str" cm="1">
        <f t="array" ref="F238">_xlfn.IFS(AJ238="Exceeds", "Top Performer", AJ238="Fully Meets", "Solid Performer", AJ238="Needs Improvement", "Underperformer", AJ238="PIP", "At Risk")</f>
        <v>Underperformer</v>
      </c>
      <c r="G238" t="str" cm="1">
        <f t="array" ref="G238">_xlfn.IFS(AE238="Active", "Retained", AE238="Voluntarily Terminated", "Voluntary Exit", AE238="Terminated for Cause", "Involuntary Exit")</f>
        <v>Involuntary Exit</v>
      </c>
      <c r="H238">
        <v>10285</v>
      </c>
      <c r="I238">
        <v>1</v>
      </c>
      <c r="J238">
        <v>1</v>
      </c>
      <c r="K238">
        <v>0</v>
      </c>
      <c r="L238">
        <v>4</v>
      </c>
      <c r="M238">
        <v>5</v>
      </c>
      <c r="N238">
        <v>2</v>
      </c>
      <c r="O238">
        <v>0</v>
      </c>
      <c r="P238">
        <v>61422</v>
      </c>
      <c r="Q238">
        <v>1</v>
      </c>
      <c r="R238">
        <v>19</v>
      </c>
      <c r="S238" t="s">
        <v>44</v>
      </c>
      <c r="T238" t="s">
        <v>45</v>
      </c>
      <c r="U238">
        <v>1460</v>
      </c>
      <c r="V238" s="1">
        <v>31054</v>
      </c>
      <c r="W238" t="s">
        <v>68</v>
      </c>
      <c r="X238" t="s">
        <v>59</v>
      </c>
      <c r="Y238" t="s">
        <v>48</v>
      </c>
      <c r="Z238" t="s">
        <v>49</v>
      </c>
      <c r="AA238" t="s">
        <v>50</v>
      </c>
      <c r="AB238" s="1">
        <v>40553</v>
      </c>
      <c r="AC238" s="1">
        <v>42507</v>
      </c>
      <c r="AD238" t="s">
        <v>110</v>
      </c>
      <c r="AE238" t="s">
        <v>111</v>
      </c>
      <c r="AF238" t="s">
        <v>53</v>
      </c>
      <c r="AG238" t="s">
        <v>86</v>
      </c>
      <c r="AH238">
        <v>19</v>
      </c>
      <c r="AI238" t="s">
        <v>64</v>
      </c>
      <c r="AJ238" t="s">
        <v>125</v>
      </c>
      <c r="AK238">
        <v>3.6</v>
      </c>
      <c r="AL238">
        <v>3</v>
      </c>
      <c r="AM238">
        <v>0</v>
      </c>
      <c r="AN238" s="1">
        <v>42465</v>
      </c>
      <c r="AO238">
        <v>4</v>
      </c>
      <c r="AP238">
        <v>16</v>
      </c>
    </row>
    <row r="239" spans="1:42">
      <c r="A239" t="s">
        <v>409</v>
      </c>
      <c r="B239" t="str">
        <f t="shared" si="9"/>
        <v>Elias</v>
      </c>
      <c r="C239" t="str">
        <f t="shared" si="10"/>
        <v>Robinson</v>
      </c>
      <c r="D239">
        <f t="shared" ca="1" si="11"/>
        <v>12</v>
      </c>
      <c r="E239" t="str" cm="1">
        <f t="array" ref="E239">_xlfn.IFS(P239&lt;40000, "Low", P239&lt;70000, "MID", P239&lt;100000, "HIGH", P239&gt;=100000, "Executive")</f>
        <v>MID</v>
      </c>
      <c r="F239" t="str" cm="1">
        <f t="array" ref="F239">_xlfn.IFS(AJ239="Exceeds", "Top Performer", AJ239="Fully Meets", "Solid Performer", AJ239="Needs Improvement", "Underperformer", AJ239="PIP", "At Risk")</f>
        <v>Top Performer</v>
      </c>
      <c r="G239" t="str" cm="1">
        <f t="array" ref="G239">_xlfn.IFS(AE239="Active", "Retained", AE239="Voluntarily Terminated", "Voluntary Exit", AE239="Terminated for Cause", "Involuntary Exit")</f>
        <v>Retained</v>
      </c>
      <c r="H239">
        <v>10020</v>
      </c>
      <c r="I239">
        <v>0</v>
      </c>
      <c r="J239">
        <v>4</v>
      </c>
      <c r="K239">
        <v>1</v>
      </c>
      <c r="L239">
        <v>1</v>
      </c>
      <c r="M239">
        <v>5</v>
      </c>
      <c r="N239">
        <v>4</v>
      </c>
      <c r="O239">
        <v>0</v>
      </c>
      <c r="P239">
        <v>63353</v>
      </c>
      <c r="Q239">
        <v>0</v>
      </c>
      <c r="R239">
        <v>19</v>
      </c>
      <c r="S239" t="s">
        <v>44</v>
      </c>
      <c r="T239" t="s">
        <v>45</v>
      </c>
      <c r="U239">
        <v>1730</v>
      </c>
      <c r="V239" s="1">
        <v>31075</v>
      </c>
      <c r="W239" t="s">
        <v>46</v>
      </c>
      <c r="X239" t="s">
        <v>85</v>
      </c>
      <c r="Y239" t="s">
        <v>48</v>
      </c>
      <c r="Z239" t="s">
        <v>49</v>
      </c>
      <c r="AA239" t="s">
        <v>50</v>
      </c>
      <c r="AB239" s="1">
        <v>41463</v>
      </c>
      <c r="AD239" t="s">
        <v>51</v>
      </c>
      <c r="AE239" t="s">
        <v>52</v>
      </c>
      <c r="AF239" t="s">
        <v>53</v>
      </c>
      <c r="AG239" t="s">
        <v>90</v>
      </c>
      <c r="AH239">
        <v>12</v>
      </c>
      <c r="AI239" t="s">
        <v>87</v>
      </c>
      <c r="AJ239" t="s">
        <v>56</v>
      </c>
      <c r="AK239">
        <v>3.6</v>
      </c>
      <c r="AL239">
        <v>5</v>
      </c>
      <c r="AM239">
        <v>0</v>
      </c>
      <c r="AN239" s="1">
        <v>43507</v>
      </c>
      <c r="AO239">
        <v>0</v>
      </c>
      <c r="AP239">
        <v>4</v>
      </c>
    </row>
    <row r="240" spans="1:42">
      <c r="A240" t="s">
        <v>410</v>
      </c>
      <c r="B240" t="str">
        <f t="shared" si="9"/>
        <v>Lori</v>
      </c>
      <c r="C240" t="str">
        <f t="shared" si="10"/>
        <v>Roby</v>
      </c>
      <c r="D240">
        <f t="shared" ca="1" si="11"/>
        <v>11</v>
      </c>
      <c r="E240" t="str" cm="1">
        <f t="array" ref="E240">_xlfn.IFS(P240&lt;40000, "Low", P240&lt;70000, "MID", P240&lt;100000, "HIGH", P240&gt;=100000, "Executive")</f>
        <v>HIGH</v>
      </c>
      <c r="F240" t="str" cm="1">
        <f t="array" ref="F240">_xlfn.IFS(AJ240="Exceeds", "Top Performer", AJ240="Fully Meets", "Solid Performer", AJ240="Needs Improvement", "Underperformer", AJ240="PIP", "At Risk")</f>
        <v>Solid Performer</v>
      </c>
      <c r="G240" t="str" cm="1">
        <f t="array" ref="G240">_xlfn.IFS(AE240="Active", "Retained", AE240="Voluntarily Terminated", "Voluntary Exit", AE240="Terminated for Cause", "Involuntary Exit")</f>
        <v>Retained</v>
      </c>
      <c r="H240">
        <v>10162</v>
      </c>
      <c r="I240">
        <v>1</v>
      </c>
      <c r="J240">
        <v>1</v>
      </c>
      <c r="K240">
        <v>0</v>
      </c>
      <c r="L240">
        <v>1</v>
      </c>
      <c r="M240">
        <v>3</v>
      </c>
      <c r="N240">
        <v>3</v>
      </c>
      <c r="O240">
        <v>0</v>
      </c>
      <c r="P240">
        <v>89883</v>
      </c>
      <c r="Q240">
        <v>0</v>
      </c>
      <c r="R240">
        <v>9</v>
      </c>
      <c r="S240" t="s">
        <v>102</v>
      </c>
      <c r="T240" t="s">
        <v>45</v>
      </c>
      <c r="U240">
        <v>1886</v>
      </c>
      <c r="V240" s="1">
        <v>29870</v>
      </c>
      <c r="W240" t="s">
        <v>68</v>
      </c>
      <c r="X240" t="s">
        <v>59</v>
      </c>
      <c r="Y240" t="s">
        <v>48</v>
      </c>
      <c r="Z240" t="s">
        <v>49</v>
      </c>
      <c r="AA240" t="s">
        <v>50</v>
      </c>
      <c r="AB240" s="1">
        <v>42051</v>
      </c>
      <c r="AD240" t="s">
        <v>51</v>
      </c>
      <c r="AE240" t="s">
        <v>52</v>
      </c>
      <c r="AF240" t="s">
        <v>62</v>
      </c>
      <c r="AG240" t="s">
        <v>63</v>
      </c>
      <c r="AH240">
        <v>4</v>
      </c>
      <c r="AI240" t="s">
        <v>87</v>
      </c>
      <c r="AJ240" t="s">
        <v>65</v>
      </c>
      <c r="AK240">
        <v>3.69</v>
      </c>
      <c r="AL240">
        <v>5</v>
      </c>
      <c r="AM240">
        <v>6</v>
      </c>
      <c r="AN240" s="1">
        <v>43510</v>
      </c>
      <c r="AO240">
        <v>0</v>
      </c>
      <c r="AP240">
        <v>15</v>
      </c>
    </row>
    <row r="241" spans="1:42">
      <c r="A241" t="s">
        <v>411</v>
      </c>
      <c r="B241" t="str">
        <f t="shared" si="9"/>
        <v>Bianca</v>
      </c>
      <c r="C241" t="str">
        <f t="shared" si="10"/>
        <v>Roehrich</v>
      </c>
      <c r="D241">
        <f t="shared" ca="1" si="11"/>
        <v>3</v>
      </c>
      <c r="E241" t="str" cm="1">
        <f t="array" ref="E241">_xlfn.IFS(P241&lt;40000, "Low", P241&lt;70000, "MID", P241&lt;100000, "HIGH", P241&gt;=100000, "Executive")</f>
        <v>Executive</v>
      </c>
      <c r="F241" t="str" cm="1">
        <f t="array" ref="F241">_xlfn.IFS(AJ241="Exceeds", "Top Performer", AJ241="Fully Meets", "Solid Performer", AJ241="Needs Improvement", "Underperformer", AJ241="PIP", "At Risk")</f>
        <v>Solid Performer</v>
      </c>
      <c r="G241" t="str" cm="1">
        <f t="array" ref="G241">_xlfn.IFS(AE241="Active", "Retained", AE241="Voluntarily Terminated", "Voluntary Exit", AE241="Terminated for Cause", "Involuntary Exit")</f>
        <v>Voluntary Exit</v>
      </c>
      <c r="H241">
        <v>10149</v>
      </c>
      <c r="I241">
        <v>0</v>
      </c>
      <c r="J241">
        <v>0</v>
      </c>
      <c r="K241">
        <v>0</v>
      </c>
      <c r="L241">
        <v>5</v>
      </c>
      <c r="M241">
        <v>3</v>
      </c>
      <c r="N241">
        <v>3</v>
      </c>
      <c r="O241">
        <v>0</v>
      </c>
      <c r="P241">
        <v>120000</v>
      </c>
      <c r="Q241">
        <v>1</v>
      </c>
      <c r="R241">
        <v>29</v>
      </c>
      <c r="S241" t="s">
        <v>412</v>
      </c>
      <c r="T241" t="s">
        <v>45</v>
      </c>
      <c r="U241">
        <v>2703</v>
      </c>
      <c r="V241" s="1">
        <v>26811</v>
      </c>
      <c r="W241" t="s">
        <v>68</v>
      </c>
      <c r="X241" t="s">
        <v>47</v>
      </c>
      <c r="Y241" t="s">
        <v>48</v>
      </c>
      <c r="Z241" t="s">
        <v>96</v>
      </c>
      <c r="AA241" t="s">
        <v>50</v>
      </c>
      <c r="AB241" s="1">
        <v>42009</v>
      </c>
      <c r="AC241" s="1">
        <v>43414</v>
      </c>
      <c r="AD241" t="s">
        <v>97</v>
      </c>
      <c r="AE241" t="s">
        <v>61</v>
      </c>
      <c r="AF241" t="s">
        <v>62</v>
      </c>
      <c r="AG241" t="s">
        <v>63</v>
      </c>
      <c r="AH241">
        <v>4</v>
      </c>
      <c r="AI241" t="s">
        <v>55</v>
      </c>
      <c r="AJ241" t="s">
        <v>65</v>
      </c>
      <c r="AK241">
        <v>3.88</v>
      </c>
      <c r="AL241">
        <v>3</v>
      </c>
      <c r="AM241">
        <v>7</v>
      </c>
      <c r="AN241" s="1">
        <v>43144</v>
      </c>
      <c r="AO241">
        <v>0</v>
      </c>
      <c r="AP241">
        <v>12</v>
      </c>
    </row>
    <row r="242" spans="1:42">
      <c r="A242" t="s">
        <v>413</v>
      </c>
      <c r="B242" t="str">
        <f t="shared" si="9"/>
        <v>Katie</v>
      </c>
      <c r="C242" t="str">
        <f t="shared" si="10"/>
        <v>Roper</v>
      </c>
      <c r="D242">
        <f t="shared" ca="1" si="11"/>
        <v>9</v>
      </c>
      <c r="E242" t="str" cm="1">
        <f t="array" ref="E242">_xlfn.IFS(P242&lt;40000, "Low", P242&lt;70000, "MID", P242&lt;100000, "HIGH", P242&gt;=100000, "Executive")</f>
        <v>Executive</v>
      </c>
      <c r="F242" t="str" cm="1">
        <f t="array" ref="F242">_xlfn.IFS(AJ242="Exceeds", "Top Performer", AJ242="Fully Meets", "Solid Performer", AJ242="Needs Improvement", "Underperformer", AJ242="PIP", "At Risk")</f>
        <v>Solid Performer</v>
      </c>
      <c r="G242" t="str" cm="1">
        <f t="array" ref="G242">_xlfn.IFS(AE242="Active", "Retained", AE242="Voluntarily Terminated", "Voluntary Exit", AE242="Terminated for Cause", "Involuntary Exit")</f>
        <v>Retained</v>
      </c>
      <c r="H242">
        <v>10086</v>
      </c>
      <c r="I242">
        <v>0</v>
      </c>
      <c r="J242">
        <v>0</v>
      </c>
      <c r="K242">
        <v>0</v>
      </c>
      <c r="L242">
        <v>1</v>
      </c>
      <c r="M242">
        <v>3</v>
      </c>
      <c r="N242">
        <v>3</v>
      </c>
      <c r="O242">
        <v>0</v>
      </c>
      <c r="P242">
        <v>150290</v>
      </c>
      <c r="Q242">
        <v>0</v>
      </c>
      <c r="R242">
        <v>7</v>
      </c>
      <c r="S242" t="s">
        <v>414</v>
      </c>
      <c r="T242" t="s">
        <v>45</v>
      </c>
      <c r="U242">
        <v>2056</v>
      </c>
      <c r="V242" s="1">
        <v>26624</v>
      </c>
      <c r="W242" t="s">
        <v>68</v>
      </c>
      <c r="X242" t="s">
        <v>47</v>
      </c>
      <c r="Y242" t="s">
        <v>48</v>
      </c>
      <c r="Z242" t="s">
        <v>49</v>
      </c>
      <c r="AA242" t="s">
        <v>89</v>
      </c>
      <c r="AB242" s="1">
        <v>42742</v>
      </c>
      <c r="AD242" t="s">
        <v>51</v>
      </c>
      <c r="AE242" t="s">
        <v>52</v>
      </c>
      <c r="AF242" t="s">
        <v>62</v>
      </c>
      <c r="AG242" t="s">
        <v>204</v>
      </c>
      <c r="AH242">
        <v>13</v>
      </c>
      <c r="AI242" t="s">
        <v>64</v>
      </c>
      <c r="AJ242" t="s">
        <v>65</v>
      </c>
      <c r="AK242">
        <v>4.9400000000000004</v>
      </c>
      <c r="AL242">
        <v>3</v>
      </c>
      <c r="AM242">
        <v>5</v>
      </c>
      <c r="AN242" s="1">
        <v>43502</v>
      </c>
      <c r="AO242">
        <v>0</v>
      </c>
      <c r="AP242">
        <v>17</v>
      </c>
    </row>
    <row r="243" spans="1:42">
      <c r="A243" t="s">
        <v>415</v>
      </c>
      <c r="B243" t="str">
        <f t="shared" si="9"/>
        <v>Ashley</v>
      </c>
      <c r="C243" t="str">
        <f t="shared" si="10"/>
        <v>Rose</v>
      </c>
      <c r="D243">
        <f t="shared" ca="1" si="11"/>
        <v>12</v>
      </c>
      <c r="E243" t="str" cm="1">
        <f t="array" ref="E243">_xlfn.IFS(P243&lt;40000, "Low", P243&lt;70000, "MID", P243&lt;100000, "HIGH", P243&gt;=100000, "Executive")</f>
        <v>MID</v>
      </c>
      <c r="F243" t="str" cm="1">
        <f t="array" ref="F243">_xlfn.IFS(AJ243="Exceeds", "Top Performer", AJ243="Fully Meets", "Solid Performer", AJ243="Needs Improvement", "Underperformer", AJ243="PIP", "At Risk")</f>
        <v>Solid Performer</v>
      </c>
      <c r="G243" t="str" cm="1">
        <f t="array" ref="G243">_xlfn.IFS(AE243="Active", "Retained", AE243="Voluntarily Terminated", "Voluntary Exit", AE243="Terminated for Cause", "Involuntary Exit")</f>
        <v>Retained</v>
      </c>
      <c r="H243">
        <v>10054</v>
      </c>
      <c r="I243">
        <v>0</v>
      </c>
      <c r="J243">
        <v>3</v>
      </c>
      <c r="K243">
        <v>0</v>
      </c>
      <c r="L243">
        <v>1</v>
      </c>
      <c r="M243">
        <v>5</v>
      </c>
      <c r="N243">
        <v>3</v>
      </c>
      <c r="O243">
        <v>0</v>
      </c>
      <c r="P243">
        <v>60627</v>
      </c>
      <c r="Q243">
        <v>0</v>
      </c>
      <c r="R243">
        <v>19</v>
      </c>
      <c r="S243" t="s">
        <v>44</v>
      </c>
      <c r="T243" t="s">
        <v>45</v>
      </c>
      <c r="U243">
        <v>1886</v>
      </c>
      <c r="V243" s="1">
        <v>27368</v>
      </c>
      <c r="W243" t="s">
        <v>68</v>
      </c>
      <c r="X243" t="s">
        <v>144</v>
      </c>
      <c r="Y243" t="s">
        <v>48</v>
      </c>
      <c r="Z243" t="s">
        <v>49</v>
      </c>
      <c r="AA243" t="s">
        <v>50</v>
      </c>
      <c r="AB243" s="1">
        <v>41645</v>
      </c>
      <c r="AD243" t="s">
        <v>51</v>
      </c>
      <c r="AE243" t="s">
        <v>52</v>
      </c>
      <c r="AF243" t="s">
        <v>53</v>
      </c>
      <c r="AG243" t="s">
        <v>98</v>
      </c>
      <c r="AH243">
        <v>14</v>
      </c>
      <c r="AI243" t="s">
        <v>208</v>
      </c>
      <c r="AJ243" t="s">
        <v>65</v>
      </c>
      <c r="AK243">
        <v>5</v>
      </c>
      <c r="AL243">
        <v>4</v>
      </c>
      <c r="AM243">
        <v>0</v>
      </c>
      <c r="AN243" s="1">
        <v>43496</v>
      </c>
      <c r="AO243">
        <v>0</v>
      </c>
      <c r="AP243">
        <v>8</v>
      </c>
    </row>
    <row r="244" spans="1:42">
      <c r="A244" t="s">
        <v>416</v>
      </c>
      <c r="B244" t="str">
        <f t="shared" si="9"/>
        <v>Bruno</v>
      </c>
      <c r="C244" t="str">
        <f t="shared" si="10"/>
        <v>Rossetti</v>
      </c>
      <c r="D244">
        <f t="shared" ca="1" si="11"/>
        <v>7</v>
      </c>
      <c r="E244" t="str" cm="1">
        <f t="array" ref="E244">_xlfn.IFS(P244&lt;40000, "Low", P244&lt;70000, "MID", P244&lt;100000, "HIGH", P244&gt;=100000, "Executive")</f>
        <v>MID</v>
      </c>
      <c r="F244" t="str" cm="1">
        <f t="array" ref="F244">_xlfn.IFS(AJ244="Exceeds", "Top Performer", AJ244="Fully Meets", "Solid Performer", AJ244="Needs Improvement", "Underperformer", AJ244="PIP", "At Risk")</f>
        <v>Solid Performer</v>
      </c>
      <c r="G244" t="str" cm="1">
        <f t="array" ref="G244">_xlfn.IFS(AE244="Active", "Retained", AE244="Voluntarily Terminated", "Voluntary Exit", AE244="Terminated for Cause", "Involuntary Exit")</f>
        <v>Voluntary Exit</v>
      </c>
      <c r="H244">
        <v>10065</v>
      </c>
      <c r="I244">
        <v>0</v>
      </c>
      <c r="J244">
        <v>0</v>
      </c>
      <c r="K244">
        <v>1</v>
      </c>
      <c r="L244">
        <v>5</v>
      </c>
      <c r="M244">
        <v>5</v>
      </c>
      <c r="N244">
        <v>3</v>
      </c>
      <c r="O244">
        <v>0</v>
      </c>
      <c r="P244">
        <v>53180</v>
      </c>
      <c r="Q244">
        <v>1</v>
      </c>
      <c r="R244">
        <v>19</v>
      </c>
      <c r="S244" t="s">
        <v>44</v>
      </c>
      <c r="T244" t="s">
        <v>45</v>
      </c>
      <c r="U244">
        <v>2155</v>
      </c>
      <c r="V244" s="1">
        <v>31854</v>
      </c>
      <c r="W244" t="s">
        <v>46</v>
      </c>
      <c r="X244" t="s">
        <v>47</v>
      </c>
      <c r="Y244" t="s">
        <v>48</v>
      </c>
      <c r="Z244" t="s">
        <v>49</v>
      </c>
      <c r="AA244" t="s">
        <v>50</v>
      </c>
      <c r="AB244" s="1">
        <v>40637</v>
      </c>
      <c r="AC244" s="1">
        <v>43325</v>
      </c>
      <c r="AD244" t="s">
        <v>97</v>
      </c>
      <c r="AE244" t="s">
        <v>61</v>
      </c>
      <c r="AF244" t="s">
        <v>53</v>
      </c>
      <c r="AG244" t="s">
        <v>70</v>
      </c>
      <c r="AH244">
        <v>20</v>
      </c>
      <c r="AI244" t="s">
        <v>77</v>
      </c>
      <c r="AJ244" t="s">
        <v>65</v>
      </c>
      <c r="AK244">
        <v>5</v>
      </c>
      <c r="AL244">
        <v>5</v>
      </c>
      <c r="AM244">
        <v>0</v>
      </c>
      <c r="AN244" s="1">
        <v>43283</v>
      </c>
      <c r="AO244">
        <v>0</v>
      </c>
      <c r="AP244">
        <v>4</v>
      </c>
    </row>
    <row r="245" spans="1:42">
      <c r="A245" t="s">
        <v>417</v>
      </c>
      <c r="B245" t="str">
        <f t="shared" si="9"/>
        <v>Simon</v>
      </c>
      <c r="C245" t="str">
        <f t="shared" si="10"/>
        <v>Roup</v>
      </c>
      <c r="D245">
        <f t="shared" ca="1" si="11"/>
        <v>13</v>
      </c>
      <c r="E245" t="str" cm="1">
        <f t="array" ref="E245">_xlfn.IFS(P245&lt;40000, "Low", P245&lt;70000, "MID", P245&lt;100000, "HIGH", P245&gt;=100000, "Executive")</f>
        <v>Executive</v>
      </c>
      <c r="F245" t="str" cm="1">
        <f t="array" ref="F245">_xlfn.IFS(AJ245="Exceeds", "Top Performer", AJ245="Fully Meets", "Solid Performer", AJ245="Needs Improvement", "Underperformer", AJ245="PIP", "At Risk")</f>
        <v>Solid Performer</v>
      </c>
      <c r="G245" t="str" cm="1">
        <f t="array" ref="G245">_xlfn.IFS(AE245="Active", "Retained", AE245="Voluntarily Terminated", "Voluntary Exit", AE245="Terminated for Cause", "Involuntary Exit")</f>
        <v>Retained</v>
      </c>
      <c r="H245">
        <v>10198</v>
      </c>
      <c r="I245">
        <v>0</v>
      </c>
      <c r="J245">
        <v>0</v>
      </c>
      <c r="K245">
        <v>1</v>
      </c>
      <c r="L245">
        <v>1</v>
      </c>
      <c r="M245">
        <v>3</v>
      </c>
      <c r="N245">
        <v>3</v>
      </c>
      <c r="O245">
        <v>0</v>
      </c>
      <c r="P245">
        <v>140920</v>
      </c>
      <c r="Q245">
        <v>0</v>
      </c>
      <c r="R245">
        <v>13</v>
      </c>
      <c r="S245" t="s">
        <v>418</v>
      </c>
      <c r="T245" t="s">
        <v>45</v>
      </c>
      <c r="U245">
        <v>2481</v>
      </c>
      <c r="V245" s="1">
        <v>26759</v>
      </c>
      <c r="W245" t="s">
        <v>46</v>
      </c>
      <c r="X245" t="s">
        <v>47</v>
      </c>
      <c r="Y245" t="s">
        <v>48</v>
      </c>
      <c r="Z245" t="s">
        <v>49</v>
      </c>
      <c r="AA245" t="s">
        <v>50</v>
      </c>
      <c r="AB245" s="1">
        <v>41294</v>
      </c>
      <c r="AD245" t="s">
        <v>51</v>
      </c>
      <c r="AE245" t="s">
        <v>52</v>
      </c>
      <c r="AF245" t="s">
        <v>62</v>
      </c>
      <c r="AG245" t="s">
        <v>154</v>
      </c>
      <c r="AH245">
        <v>5</v>
      </c>
      <c r="AI245" t="s">
        <v>64</v>
      </c>
      <c r="AJ245" t="s">
        <v>65</v>
      </c>
      <c r="AK245">
        <v>3.6</v>
      </c>
      <c r="AL245">
        <v>5</v>
      </c>
      <c r="AM245">
        <v>7</v>
      </c>
      <c r="AN245" s="1">
        <v>43514</v>
      </c>
      <c r="AO245">
        <v>0</v>
      </c>
      <c r="AP245">
        <v>13</v>
      </c>
    </row>
    <row r="246" spans="1:42">
      <c r="A246" t="s">
        <v>419</v>
      </c>
      <c r="B246" t="str">
        <f t="shared" si="9"/>
        <v>Ricardo</v>
      </c>
      <c r="C246" t="str">
        <f t="shared" si="10"/>
        <v>Ruiz</v>
      </c>
      <c r="D246">
        <f t="shared" ca="1" si="11"/>
        <v>3</v>
      </c>
      <c r="E246" t="str" cm="1">
        <f t="array" ref="E246">_xlfn.IFS(P246&lt;40000, "Low", P246&lt;70000, "MID", P246&lt;100000, "HIGH", P246&gt;=100000, "Executive")</f>
        <v>Executive</v>
      </c>
      <c r="F246" t="str" cm="1">
        <f t="array" ref="F246">_xlfn.IFS(AJ246="Exceeds", "Top Performer", AJ246="Fully Meets", "Solid Performer", AJ246="Needs Improvement", "Underperformer", AJ246="PIP", "At Risk")</f>
        <v>Solid Performer</v>
      </c>
      <c r="G246" t="str" cm="1">
        <f t="array" ref="G246">_xlfn.IFS(AE246="Active", "Retained", AE246="Voluntarily Terminated", "Voluntary Exit", AE246="Terminated for Cause", "Involuntary Exit")</f>
        <v>Voluntary Exit</v>
      </c>
      <c r="H246">
        <v>10222</v>
      </c>
      <c r="I246">
        <v>0</v>
      </c>
      <c r="J246">
        <v>2</v>
      </c>
      <c r="K246">
        <v>1</v>
      </c>
      <c r="L246">
        <v>5</v>
      </c>
      <c r="M246">
        <v>3</v>
      </c>
      <c r="N246">
        <v>3</v>
      </c>
      <c r="O246">
        <v>1</v>
      </c>
      <c r="P246">
        <v>148999</v>
      </c>
      <c r="Q246">
        <v>1</v>
      </c>
      <c r="R246">
        <v>13</v>
      </c>
      <c r="S246" t="s">
        <v>418</v>
      </c>
      <c r="T246" t="s">
        <v>45</v>
      </c>
      <c r="U246">
        <v>1915</v>
      </c>
      <c r="V246" s="1">
        <v>23380</v>
      </c>
      <c r="W246" t="s">
        <v>46</v>
      </c>
      <c r="X246" t="s">
        <v>74</v>
      </c>
      <c r="Y246" t="s">
        <v>48</v>
      </c>
      <c r="Z246" t="s">
        <v>49</v>
      </c>
      <c r="AA246" t="s">
        <v>89</v>
      </c>
      <c r="AB246" s="1">
        <v>40917</v>
      </c>
      <c r="AC246" s="1">
        <v>42312</v>
      </c>
      <c r="AD246" t="s">
        <v>69</v>
      </c>
      <c r="AE246" t="s">
        <v>61</v>
      </c>
      <c r="AF246" t="s">
        <v>62</v>
      </c>
      <c r="AG246" t="s">
        <v>154</v>
      </c>
      <c r="AH246">
        <v>5</v>
      </c>
      <c r="AI246" t="s">
        <v>91</v>
      </c>
      <c r="AJ246" t="s">
        <v>65</v>
      </c>
      <c r="AK246">
        <v>4.3</v>
      </c>
      <c r="AL246">
        <v>4</v>
      </c>
      <c r="AM246">
        <v>6</v>
      </c>
      <c r="AN246" s="1">
        <v>42008</v>
      </c>
      <c r="AO246">
        <v>0</v>
      </c>
      <c r="AP246">
        <v>8</v>
      </c>
    </row>
    <row r="247" spans="1:42">
      <c r="A247" t="s">
        <v>420</v>
      </c>
      <c r="B247" t="str">
        <f t="shared" si="9"/>
        <v>Adell</v>
      </c>
      <c r="C247" t="str">
        <f t="shared" si="10"/>
        <v>Saada</v>
      </c>
      <c r="D247">
        <f t="shared" ca="1" si="11"/>
        <v>13</v>
      </c>
      <c r="E247" t="str" cm="1">
        <f t="array" ref="E247">_xlfn.IFS(P247&lt;40000, "Low", P247&lt;70000, "MID", P247&lt;100000, "HIGH", P247&gt;=100000, "Executive")</f>
        <v>HIGH</v>
      </c>
      <c r="F247" t="str" cm="1">
        <f t="array" ref="F247">_xlfn.IFS(AJ247="Exceeds", "Top Performer", AJ247="Fully Meets", "Solid Performer", AJ247="Needs Improvement", "Underperformer", AJ247="PIP", "At Risk")</f>
        <v>Solid Performer</v>
      </c>
      <c r="G247" t="str" cm="1">
        <f t="array" ref="G247">_xlfn.IFS(AE247="Active", "Retained", AE247="Voluntarily Terminated", "Voluntary Exit", AE247="Terminated for Cause", "Involuntary Exit")</f>
        <v>Retained</v>
      </c>
      <c r="H247">
        <v>10126</v>
      </c>
      <c r="I247">
        <v>1</v>
      </c>
      <c r="J247">
        <v>1</v>
      </c>
      <c r="K247">
        <v>0</v>
      </c>
      <c r="L247">
        <v>1</v>
      </c>
      <c r="M247">
        <v>4</v>
      </c>
      <c r="N247">
        <v>3</v>
      </c>
      <c r="O247">
        <v>0</v>
      </c>
      <c r="P247">
        <v>86214</v>
      </c>
      <c r="Q247">
        <v>0</v>
      </c>
      <c r="R247">
        <v>24</v>
      </c>
      <c r="S247" t="s">
        <v>81</v>
      </c>
      <c r="T247" t="s">
        <v>45</v>
      </c>
      <c r="U247">
        <v>2132</v>
      </c>
      <c r="V247" s="1">
        <v>31617</v>
      </c>
      <c r="W247" t="s">
        <v>68</v>
      </c>
      <c r="X247" t="s">
        <v>59</v>
      </c>
      <c r="Y247" t="s">
        <v>48</v>
      </c>
      <c r="Z247" t="s">
        <v>49</v>
      </c>
      <c r="AA247" t="s">
        <v>50</v>
      </c>
      <c r="AB247" s="1">
        <v>41218</v>
      </c>
      <c r="AD247" t="s">
        <v>51</v>
      </c>
      <c r="AE247" t="s">
        <v>52</v>
      </c>
      <c r="AF247" t="s">
        <v>82</v>
      </c>
      <c r="AG247" t="s">
        <v>83</v>
      </c>
      <c r="AH247">
        <v>10</v>
      </c>
      <c r="AI247" t="s">
        <v>64</v>
      </c>
      <c r="AJ247" t="s">
        <v>65</v>
      </c>
      <c r="AK247">
        <v>4.2</v>
      </c>
      <c r="AL247">
        <v>3</v>
      </c>
      <c r="AM247">
        <v>6</v>
      </c>
      <c r="AN247" s="1">
        <v>43509</v>
      </c>
      <c r="AO247">
        <v>0</v>
      </c>
      <c r="AP247">
        <v>2</v>
      </c>
    </row>
    <row r="248" spans="1:42">
      <c r="A248" t="s">
        <v>421</v>
      </c>
      <c r="B248" t="str">
        <f t="shared" si="9"/>
        <v>Melinda</v>
      </c>
      <c r="C248" t="str">
        <f t="shared" si="10"/>
        <v>Saar-Beckles</v>
      </c>
      <c r="D248">
        <f t="shared" ca="1" si="11"/>
        <v>9</v>
      </c>
      <c r="E248" t="str" cm="1">
        <f t="array" ref="E248">_xlfn.IFS(P248&lt;40000, "Low", P248&lt;70000, "MID", P248&lt;100000, "HIGH", P248&gt;=100000, "Executive")</f>
        <v>MID</v>
      </c>
      <c r="F248" t="str" cm="1">
        <f t="array" ref="F248">_xlfn.IFS(AJ248="Exceeds", "Top Performer", AJ248="Fully Meets", "Solid Performer", AJ248="Needs Improvement", "Underperformer", AJ248="PIP", "At Risk")</f>
        <v>Underperformer</v>
      </c>
      <c r="G248" t="str" cm="1">
        <f t="array" ref="G248">_xlfn.IFS(AE248="Active", "Retained", AE248="Voluntarily Terminated", "Voluntary Exit", AE248="Terminated for Cause", "Involuntary Exit")</f>
        <v>Retained</v>
      </c>
      <c r="H248">
        <v>10295</v>
      </c>
      <c r="I248">
        <v>0</v>
      </c>
      <c r="J248">
        <v>0</v>
      </c>
      <c r="K248">
        <v>0</v>
      </c>
      <c r="L248">
        <v>2</v>
      </c>
      <c r="M248">
        <v>5</v>
      </c>
      <c r="N248">
        <v>2</v>
      </c>
      <c r="O248">
        <v>1</v>
      </c>
      <c r="P248">
        <v>47750</v>
      </c>
      <c r="Q248">
        <v>0</v>
      </c>
      <c r="R248">
        <v>19</v>
      </c>
      <c r="S248" t="s">
        <v>44</v>
      </c>
      <c r="T248" t="s">
        <v>45</v>
      </c>
      <c r="U248">
        <v>1801</v>
      </c>
      <c r="V248" s="1">
        <v>24995</v>
      </c>
      <c r="W248" t="s">
        <v>68</v>
      </c>
      <c r="X248" t="s">
        <v>47</v>
      </c>
      <c r="Y248" t="s">
        <v>48</v>
      </c>
      <c r="Z248" t="s">
        <v>49</v>
      </c>
      <c r="AA248" t="s">
        <v>89</v>
      </c>
      <c r="AB248" s="1">
        <v>42555</v>
      </c>
      <c r="AD248" t="s">
        <v>51</v>
      </c>
      <c r="AE248" t="s">
        <v>52</v>
      </c>
      <c r="AF248" t="s">
        <v>53</v>
      </c>
      <c r="AG248" t="s">
        <v>106</v>
      </c>
      <c r="AH248">
        <v>18</v>
      </c>
      <c r="AI248" t="s">
        <v>91</v>
      </c>
      <c r="AJ248" t="s">
        <v>125</v>
      </c>
      <c r="AK248">
        <v>2.6</v>
      </c>
      <c r="AL248">
        <v>4</v>
      </c>
      <c r="AM248">
        <v>0</v>
      </c>
      <c r="AN248" s="1">
        <v>43514</v>
      </c>
      <c r="AO248">
        <v>5</v>
      </c>
      <c r="AP248">
        <v>4</v>
      </c>
    </row>
    <row r="249" spans="1:42">
      <c r="A249" t="s">
        <v>422</v>
      </c>
      <c r="B249" t="str">
        <f t="shared" si="9"/>
        <v>Nore</v>
      </c>
      <c r="C249" t="str">
        <f t="shared" si="10"/>
        <v>Sadki</v>
      </c>
      <c r="D249">
        <f t="shared" ca="1" si="11"/>
        <v>9</v>
      </c>
      <c r="E249" t="str" cm="1">
        <f t="array" ref="E249">_xlfn.IFS(P249&lt;40000, "Low", P249&lt;70000, "MID", P249&lt;100000, "HIGH", P249&gt;=100000, "Executive")</f>
        <v>MID</v>
      </c>
      <c r="F249" t="str" cm="1">
        <f t="array" ref="F249">_xlfn.IFS(AJ249="Exceeds", "Top Performer", AJ249="Fully Meets", "Solid Performer", AJ249="Needs Improvement", "Underperformer", AJ249="PIP", "At Risk")</f>
        <v>Solid Performer</v>
      </c>
      <c r="G249" t="str" cm="1">
        <f t="array" ref="G249">_xlfn.IFS(AE249="Active", "Retained", AE249="Voluntarily Terminated", "Voluntary Exit", AE249="Terminated for Cause", "Involuntary Exit")</f>
        <v>Voluntary Exit</v>
      </c>
      <c r="H249">
        <v>10260</v>
      </c>
      <c r="I249">
        <v>0</v>
      </c>
      <c r="J249">
        <v>0</v>
      </c>
      <c r="K249">
        <v>1</v>
      </c>
      <c r="L249">
        <v>5</v>
      </c>
      <c r="M249">
        <v>5</v>
      </c>
      <c r="N249">
        <v>3</v>
      </c>
      <c r="O249">
        <v>0</v>
      </c>
      <c r="P249">
        <v>46428</v>
      </c>
      <c r="Q249">
        <v>1</v>
      </c>
      <c r="R249">
        <v>19</v>
      </c>
      <c r="S249" t="s">
        <v>44</v>
      </c>
      <c r="T249" t="s">
        <v>45</v>
      </c>
      <c r="U249">
        <v>2148</v>
      </c>
      <c r="V249" s="1">
        <v>27384</v>
      </c>
      <c r="W249" t="s">
        <v>46</v>
      </c>
      <c r="X249" t="s">
        <v>47</v>
      </c>
      <c r="Y249" t="s">
        <v>48</v>
      </c>
      <c r="Z249" t="s">
        <v>49</v>
      </c>
      <c r="AA249" t="s">
        <v>50</v>
      </c>
      <c r="AB249" s="1">
        <v>39818</v>
      </c>
      <c r="AC249" s="1">
        <v>43311</v>
      </c>
      <c r="AD249" t="s">
        <v>169</v>
      </c>
      <c r="AE249" t="s">
        <v>61</v>
      </c>
      <c r="AF249" t="s">
        <v>53</v>
      </c>
      <c r="AG249" t="s">
        <v>54</v>
      </c>
      <c r="AH249">
        <v>22</v>
      </c>
      <c r="AI249" t="s">
        <v>77</v>
      </c>
      <c r="AJ249" t="s">
        <v>65</v>
      </c>
      <c r="AK249">
        <v>4.5999999999999996</v>
      </c>
      <c r="AL249">
        <v>5</v>
      </c>
      <c r="AM249">
        <v>0</v>
      </c>
      <c r="AN249" s="1">
        <v>43136</v>
      </c>
      <c r="AO249">
        <v>0</v>
      </c>
      <c r="AP249">
        <v>7</v>
      </c>
    </row>
    <row r="250" spans="1:42">
      <c r="A250" t="s">
        <v>423</v>
      </c>
      <c r="B250" t="str">
        <f t="shared" si="9"/>
        <v>Adil</v>
      </c>
      <c r="C250" t="str">
        <f t="shared" si="10"/>
        <v>Sahoo</v>
      </c>
      <c r="D250">
        <f t="shared" ca="1" si="11"/>
        <v>15</v>
      </c>
      <c r="E250" t="str" cm="1">
        <f t="array" ref="E250">_xlfn.IFS(P250&lt;40000, "Low", P250&lt;70000, "MID", P250&lt;100000, "HIGH", P250&gt;=100000, "Executive")</f>
        <v>MID</v>
      </c>
      <c r="F250" t="str" cm="1">
        <f t="array" ref="F250">_xlfn.IFS(AJ250="Exceeds", "Top Performer", AJ250="Fully Meets", "Solid Performer", AJ250="Needs Improvement", "Underperformer", AJ250="PIP", "At Risk")</f>
        <v>Solid Performer</v>
      </c>
      <c r="G250" t="str" cm="1">
        <f t="array" ref="G250">_xlfn.IFS(AE250="Active", "Retained", AE250="Voluntarily Terminated", "Voluntary Exit", AE250="Terminated for Cause", "Involuntary Exit")</f>
        <v>Retained</v>
      </c>
      <c r="H250">
        <v>10233</v>
      </c>
      <c r="I250">
        <v>1</v>
      </c>
      <c r="J250">
        <v>1</v>
      </c>
      <c r="K250">
        <v>1</v>
      </c>
      <c r="L250">
        <v>1</v>
      </c>
      <c r="M250">
        <v>5</v>
      </c>
      <c r="N250">
        <v>3</v>
      </c>
      <c r="O250">
        <v>0</v>
      </c>
      <c r="P250">
        <v>57975</v>
      </c>
      <c r="Q250">
        <v>0</v>
      </c>
      <c r="R250">
        <v>20</v>
      </c>
      <c r="S250" t="s">
        <v>67</v>
      </c>
      <c r="T250" t="s">
        <v>45</v>
      </c>
      <c r="U250">
        <v>2062</v>
      </c>
      <c r="V250" s="1">
        <v>31528</v>
      </c>
      <c r="W250" t="s">
        <v>46</v>
      </c>
      <c r="X250" t="s">
        <v>59</v>
      </c>
      <c r="Y250" t="s">
        <v>48</v>
      </c>
      <c r="Z250" t="s">
        <v>49</v>
      </c>
      <c r="AA250" t="s">
        <v>50</v>
      </c>
      <c r="AB250" s="1">
        <v>40420</v>
      </c>
      <c r="AD250" t="s">
        <v>51</v>
      </c>
      <c r="AE250" t="s">
        <v>52</v>
      </c>
      <c r="AF250" t="s">
        <v>53</v>
      </c>
      <c r="AG250" t="s">
        <v>106</v>
      </c>
      <c r="AH250">
        <v>18</v>
      </c>
      <c r="AI250" t="s">
        <v>124</v>
      </c>
      <c r="AJ250" t="s">
        <v>65</v>
      </c>
      <c r="AK250">
        <v>4.0999999999999996</v>
      </c>
      <c r="AL250">
        <v>3</v>
      </c>
      <c r="AM250">
        <v>0</v>
      </c>
      <c r="AN250" s="1">
        <v>43475</v>
      </c>
      <c r="AO250">
        <v>0</v>
      </c>
      <c r="AP250">
        <v>13</v>
      </c>
    </row>
    <row r="251" spans="1:42">
      <c r="A251" t="s">
        <v>424</v>
      </c>
      <c r="B251" t="str">
        <f t="shared" si="9"/>
        <v>Jason</v>
      </c>
      <c r="C251" t="str">
        <f t="shared" si="10"/>
        <v>Salter</v>
      </c>
      <c r="D251">
        <f t="shared" ca="1" si="11"/>
        <v>0</v>
      </c>
      <c r="E251" t="str" cm="1">
        <f t="array" ref="E251">_xlfn.IFS(P251&lt;40000, "Low", P251&lt;70000, "MID", P251&lt;100000, "HIGH", P251&gt;=100000, "Executive")</f>
        <v>HIGH</v>
      </c>
      <c r="F251" t="str" cm="1">
        <f t="array" ref="F251">_xlfn.IFS(AJ251="Exceeds", "Top Performer", AJ251="Fully Meets", "Solid Performer", AJ251="Needs Improvement", "Underperformer", AJ251="PIP", "At Risk")</f>
        <v>Solid Performer</v>
      </c>
      <c r="G251" t="str" cm="1">
        <f t="array" ref="G251">_xlfn.IFS(AE251="Active", "Retained", AE251="Voluntarily Terminated", "Voluntary Exit", AE251="Terminated for Cause", "Involuntary Exit")</f>
        <v>Voluntary Exit</v>
      </c>
      <c r="H251">
        <v>10229</v>
      </c>
      <c r="I251">
        <v>0</v>
      </c>
      <c r="J251">
        <v>2</v>
      </c>
      <c r="K251">
        <v>1</v>
      </c>
      <c r="L251">
        <v>5</v>
      </c>
      <c r="M251">
        <v>3</v>
      </c>
      <c r="N251">
        <v>3</v>
      </c>
      <c r="O251">
        <v>0</v>
      </c>
      <c r="P251">
        <v>88527</v>
      </c>
      <c r="Q251">
        <v>1</v>
      </c>
      <c r="R251">
        <v>9</v>
      </c>
      <c r="S251" t="s">
        <v>425</v>
      </c>
      <c r="T251" t="s">
        <v>45</v>
      </c>
      <c r="U251">
        <v>2452</v>
      </c>
      <c r="V251" s="1">
        <v>32128</v>
      </c>
      <c r="W251" t="s">
        <v>46</v>
      </c>
      <c r="X251" t="s">
        <v>74</v>
      </c>
      <c r="Y251" t="s">
        <v>48</v>
      </c>
      <c r="Z251" t="s">
        <v>49</v>
      </c>
      <c r="AA251" t="s">
        <v>89</v>
      </c>
      <c r="AB251" s="1">
        <v>42009</v>
      </c>
      <c r="AC251" s="1">
        <v>42308</v>
      </c>
      <c r="AD251" t="s">
        <v>69</v>
      </c>
      <c r="AE251" t="s">
        <v>61</v>
      </c>
      <c r="AF251" t="s">
        <v>62</v>
      </c>
      <c r="AG251" t="s">
        <v>63</v>
      </c>
      <c r="AH251">
        <v>4</v>
      </c>
      <c r="AI251" t="s">
        <v>55</v>
      </c>
      <c r="AJ251" t="s">
        <v>65</v>
      </c>
      <c r="AK251">
        <v>4.2</v>
      </c>
      <c r="AL251">
        <v>3</v>
      </c>
      <c r="AM251">
        <v>5</v>
      </c>
      <c r="AN251" s="1">
        <v>42114</v>
      </c>
      <c r="AO251">
        <v>0</v>
      </c>
      <c r="AP251">
        <v>2</v>
      </c>
    </row>
    <row r="252" spans="1:42">
      <c r="A252" t="s">
        <v>426</v>
      </c>
      <c r="B252" t="str">
        <f t="shared" si="9"/>
        <v>Kamrin</v>
      </c>
      <c r="C252" t="str">
        <f t="shared" si="10"/>
        <v>Sander</v>
      </c>
      <c r="D252">
        <f t="shared" ca="1" si="11"/>
        <v>11</v>
      </c>
      <c r="E252" t="str" cm="1">
        <f t="array" ref="E252">_xlfn.IFS(P252&lt;40000, "Low", P252&lt;70000, "MID", P252&lt;100000, "HIGH", P252&gt;=100000, "Executive")</f>
        <v>MID</v>
      </c>
      <c r="F252" t="str" cm="1">
        <f t="array" ref="F252">_xlfn.IFS(AJ252="Exceeds", "Top Performer", AJ252="Fully Meets", "Solid Performer", AJ252="Needs Improvement", "Underperformer", AJ252="PIP", "At Risk")</f>
        <v>Solid Performer</v>
      </c>
      <c r="G252" t="str" cm="1">
        <f t="array" ref="G252">_xlfn.IFS(AE252="Active", "Retained", AE252="Voluntarily Terminated", "Voluntary Exit", AE252="Terminated for Cause", "Involuntary Exit")</f>
        <v>Retained</v>
      </c>
      <c r="H252">
        <v>10169</v>
      </c>
      <c r="I252">
        <v>1</v>
      </c>
      <c r="J252">
        <v>1</v>
      </c>
      <c r="K252">
        <v>0</v>
      </c>
      <c r="L252">
        <v>1</v>
      </c>
      <c r="M252">
        <v>5</v>
      </c>
      <c r="N252">
        <v>3</v>
      </c>
      <c r="O252">
        <v>0</v>
      </c>
      <c r="P252">
        <v>56147</v>
      </c>
      <c r="Q252">
        <v>0</v>
      </c>
      <c r="R252">
        <v>19</v>
      </c>
      <c r="S252" t="s">
        <v>44</v>
      </c>
      <c r="T252" t="s">
        <v>45</v>
      </c>
      <c r="U252">
        <v>2154</v>
      </c>
      <c r="V252" s="1">
        <v>32334</v>
      </c>
      <c r="W252" t="s">
        <v>68</v>
      </c>
      <c r="X252" t="s">
        <v>59</v>
      </c>
      <c r="Y252" t="s">
        <v>48</v>
      </c>
      <c r="Z252" t="s">
        <v>49</v>
      </c>
      <c r="AA252" t="s">
        <v>89</v>
      </c>
      <c r="AB252" s="1">
        <v>41911</v>
      </c>
      <c r="AD252" t="s">
        <v>51</v>
      </c>
      <c r="AE252" t="s">
        <v>52</v>
      </c>
      <c r="AF252" t="s">
        <v>53</v>
      </c>
      <c r="AG252" t="s">
        <v>72</v>
      </c>
      <c r="AH252">
        <v>16</v>
      </c>
      <c r="AI252" t="s">
        <v>55</v>
      </c>
      <c r="AJ252" t="s">
        <v>65</v>
      </c>
      <c r="AK252">
        <v>3.51</v>
      </c>
      <c r="AL252">
        <v>3</v>
      </c>
      <c r="AM252">
        <v>0</v>
      </c>
      <c r="AN252" s="1">
        <v>43514</v>
      </c>
      <c r="AO252">
        <v>0</v>
      </c>
      <c r="AP252">
        <v>2</v>
      </c>
    </row>
    <row r="253" spans="1:42">
      <c r="A253" t="s">
        <v>427</v>
      </c>
      <c r="B253" t="str">
        <f t="shared" si="9"/>
        <v>Nori</v>
      </c>
      <c r="C253" t="str">
        <f t="shared" si="10"/>
        <v>Sewkumar</v>
      </c>
      <c r="D253">
        <f t="shared" ca="1" si="11"/>
        <v>12</v>
      </c>
      <c r="E253" t="str" cm="1">
        <f t="array" ref="E253">_xlfn.IFS(P253&lt;40000, "Low", P253&lt;70000, "MID", P253&lt;100000, "HIGH", P253&gt;=100000, "Executive")</f>
        <v>MID</v>
      </c>
      <c r="F253" t="str" cm="1">
        <f t="array" ref="F253">_xlfn.IFS(AJ253="Exceeds", "Top Performer", AJ253="Fully Meets", "Solid Performer", AJ253="Needs Improvement", "Underperformer", AJ253="PIP", "At Risk")</f>
        <v>Solid Performer</v>
      </c>
      <c r="G253" t="str" cm="1">
        <f t="array" ref="G253">_xlfn.IFS(AE253="Active", "Retained", AE253="Voluntarily Terminated", "Voluntary Exit", AE253="Terminated for Cause", "Involuntary Exit")</f>
        <v>Retained</v>
      </c>
      <c r="H253">
        <v>10071</v>
      </c>
      <c r="I253">
        <v>0</v>
      </c>
      <c r="J253">
        <v>0</v>
      </c>
      <c r="K253">
        <v>0</v>
      </c>
      <c r="L253">
        <v>3</v>
      </c>
      <c r="M253">
        <v>5</v>
      </c>
      <c r="N253">
        <v>3</v>
      </c>
      <c r="O253">
        <v>0</v>
      </c>
      <c r="P253">
        <v>50923</v>
      </c>
      <c r="Q253">
        <v>0</v>
      </c>
      <c r="R253">
        <v>19</v>
      </c>
      <c r="S253" t="s">
        <v>44</v>
      </c>
      <c r="T253" t="s">
        <v>45</v>
      </c>
      <c r="U253">
        <v>2191</v>
      </c>
      <c r="V253" s="1">
        <v>27463</v>
      </c>
      <c r="W253" t="s">
        <v>68</v>
      </c>
      <c r="X253" t="s">
        <v>47</v>
      </c>
      <c r="Y253" t="s">
        <v>48</v>
      </c>
      <c r="Z253" t="s">
        <v>49</v>
      </c>
      <c r="AA253" t="s">
        <v>119</v>
      </c>
      <c r="AB253" s="1">
        <v>41547</v>
      </c>
      <c r="AD253" t="s">
        <v>51</v>
      </c>
      <c r="AE253" t="s">
        <v>52</v>
      </c>
      <c r="AF253" t="s">
        <v>53</v>
      </c>
      <c r="AG253" t="s">
        <v>76</v>
      </c>
      <c r="AI253" t="s">
        <v>77</v>
      </c>
      <c r="AJ253" t="s">
        <v>65</v>
      </c>
      <c r="AK253">
        <v>5</v>
      </c>
      <c r="AL253">
        <v>5</v>
      </c>
      <c r="AM253">
        <v>0</v>
      </c>
      <c r="AN253" s="1">
        <v>43502</v>
      </c>
      <c r="AO253">
        <v>0</v>
      </c>
      <c r="AP253">
        <v>14</v>
      </c>
    </row>
    <row r="254" spans="1:42">
      <c r="A254" t="s">
        <v>428</v>
      </c>
      <c r="B254" t="str">
        <f t="shared" si="9"/>
        <v>Anita</v>
      </c>
      <c r="C254" t="str">
        <f t="shared" si="10"/>
        <v>Shepard</v>
      </c>
      <c r="D254">
        <f t="shared" ca="1" si="11"/>
        <v>11</v>
      </c>
      <c r="E254" t="str" cm="1">
        <f t="array" ref="E254">_xlfn.IFS(P254&lt;40000, "Low", P254&lt;70000, "MID", P254&lt;100000, "HIGH", P254&gt;=100000, "Executive")</f>
        <v>MID</v>
      </c>
      <c r="F254" t="str" cm="1">
        <f t="array" ref="F254">_xlfn.IFS(AJ254="Exceeds", "Top Performer", AJ254="Fully Meets", "Solid Performer", AJ254="Needs Improvement", "Underperformer", AJ254="PIP", "At Risk")</f>
        <v>Solid Performer</v>
      </c>
      <c r="G254" t="str" cm="1">
        <f t="array" ref="G254">_xlfn.IFS(AE254="Active", "Retained", AE254="Voluntarily Terminated", "Voluntary Exit", AE254="Terminated for Cause", "Involuntary Exit")</f>
        <v>Retained</v>
      </c>
      <c r="H254">
        <v>10179</v>
      </c>
      <c r="I254">
        <v>1</v>
      </c>
      <c r="J254">
        <v>1</v>
      </c>
      <c r="K254">
        <v>0</v>
      </c>
      <c r="L254">
        <v>1</v>
      </c>
      <c r="M254">
        <v>3</v>
      </c>
      <c r="N254">
        <v>3</v>
      </c>
      <c r="O254">
        <v>0</v>
      </c>
      <c r="P254">
        <v>50750</v>
      </c>
      <c r="Q254">
        <v>0</v>
      </c>
      <c r="R254">
        <v>15</v>
      </c>
      <c r="S254" t="s">
        <v>232</v>
      </c>
      <c r="T254" t="s">
        <v>45</v>
      </c>
      <c r="U254">
        <v>1773</v>
      </c>
      <c r="V254" s="1">
        <v>29690</v>
      </c>
      <c r="W254" t="s">
        <v>68</v>
      </c>
      <c r="X254" t="s">
        <v>59</v>
      </c>
      <c r="Y254" t="s">
        <v>48</v>
      </c>
      <c r="Z254" t="s">
        <v>49</v>
      </c>
      <c r="AA254" t="s">
        <v>50</v>
      </c>
      <c r="AB254" s="1">
        <v>41912</v>
      </c>
      <c r="AD254" t="s">
        <v>51</v>
      </c>
      <c r="AE254" t="s">
        <v>52</v>
      </c>
      <c r="AF254" t="s">
        <v>62</v>
      </c>
      <c r="AG254" t="s">
        <v>94</v>
      </c>
      <c r="AH254">
        <v>7</v>
      </c>
      <c r="AI254" t="s">
        <v>55</v>
      </c>
      <c r="AJ254" t="s">
        <v>65</v>
      </c>
      <c r="AK254">
        <v>3.31</v>
      </c>
      <c r="AL254">
        <v>3</v>
      </c>
      <c r="AM254">
        <v>6</v>
      </c>
      <c r="AN254" s="1">
        <v>43472</v>
      </c>
      <c r="AO254">
        <v>0</v>
      </c>
      <c r="AP254">
        <v>7</v>
      </c>
    </row>
    <row r="255" spans="1:42">
      <c r="A255" t="s">
        <v>429</v>
      </c>
      <c r="B255" t="str">
        <f t="shared" si="9"/>
        <v>Seffi</v>
      </c>
      <c r="C255" t="str">
        <f t="shared" si="10"/>
        <v>Shields</v>
      </c>
      <c r="D255">
        <f t="shared" ca="1" si="11"/>
        <v>12</v>
      </c>
      <c r="E255" t="str" cm="1">
        <f t="array" ref="E255">_xlfn.IFS(P255&lt;40000, "Low", P255&lt;70000, "MID", P255&lt;100000, "HIGH", P255&gt;=100000, "Executive")</f>
        <v>MID</v>
      </c>
      <c r="F255" t="str" cm="1">
        <f t="array" ref="F255">_xlfn.IFS(AJ255="Exceeds", "Top Performer", AJ255="Fully Meets", "Solid Performer", AJ255="Needs Improvement", "Underperformer", AJ255="PIP", "At Risk")</f>
        <v>Solid Performer</v>
      </c>
      <c r="G255" t="str" cm="1">
        <f t="array" ref="G255">_xlfn.IFS(AE255="Active", "Retained", AE255="Voluntarily Terminated", "Voluntary Exit", AE255="Terminated for Cause", "Involuntary Exit")</f>
        <v>Retained</v>
      </c>
      <c r="H255">
        <v>10091</v>
      </c>
      <c r="I255">
        <v>1</v>
      </c>
      <c r="J255">
        <v>1</v>
      </c>
      <c r="K255">
        <v>0</v>
      </c>
      <c r="L255">
        <v>1</v>
      </c>
      <c r="M255">
        <v>5</v>
      </c>
      <c r="N255">
        <v>3</v>
      </c>
      <c r="O255">
        <v>0</v>
      </c>
      <c r="P255">
        <v>52087</v>
      </c>
      <c r="Q255">
        <v>0</v>
      </c>
      <c r="R255">
        <v>19</v>
      </c>
      <c r="S255" t="s">
        <v>44</v>
      </c>
      <c r="T255" t="s">
        <v>45</v>
      </c>
      <c r="U255">
        <v>2149</v>
      </c>
      <c r="V255" s="1">
        <v>31283</v>
      </c>
      <c r="W255" t="s">
        <v>68</v>
      </c>
      <c r="X255" t="s">
        <v>59</v>
      </c>
      <c r="Y255" t="s">
        <v>48</v>
      </c>
      <c r="Z255" t="s">
        <v>49</v>
      </c>
      <c r="AA255" t="s">
        <v>50</v>
      </c>
      <c r="AB255" s="1">
        <v>41505</v>
      </c>
      <c r="AD255" t="s">
        <v>51</v>
      </c>
      <c r="AE255" t="s">
        <v>52</v>
      </c>
      <c r="AF255" t="s">
        <v>53</v>
      </c>
      <c r="AG255" t="s">
        <v>79</v>
      </c>
      <c r="AH255">
        <v>11</v>
      </c>
      <c r="AI255" t="s">
        <v>55</v>
      </c>
      <c r="AJ255" t="s">
        <v>65</v>
      </c>
      <c r="AK255">
        <v>4.8099999999999996</v>
      </c>
      <c r="AL255">
        <v>4</v>
      </c>
      <c r="AM255">
        <v>0</v>
      </c>
      <c r="AN255" s="1">
        <v>43511</v>
      </c>
      <c r="AO255">
        <v>0</v>
      </c>
      <c r="AP255">
        <v>15</v>
      </c>
    </row>
    <row r="256" spans="1:42">
      <c r="A256" t="s">
        <v>430</v>
      </c>
      <c r="B256" t="str">
        <f t="shared" si="9"/>
        <v>Kramer</v>
      </c>
      <c r="C256" t="str">
        <f t="shared" si="10"/>
        <v>Simard</v>
      </c>
      <c r="D256">
        <f t="shared" ca="1" si="11"/>
        <v>11</v>
      </c>
      <c r="E256" t="str" cm="1">
        <f t="array" ref="E256">_xlfn.IFS(P256&lt;40000, "Low", P256&lt;70000, "MID", P256&lt;100000, "HIGH", P256&gt;=100000, "Executive")</f>
        <v>HIGH</v>
      </c>
      <c r="F256" t="str" cm="1">
        <f t="array" ref="F256">_xlfn.IFS(AJ256="Exceeds", "Top Performer", AJ256="Fully Meets", "Solid Performer", AJ256="Needs Improvement", "Underperformer", AJ256="PIP", "At Risk")</f>
        <v>Solid Performer</v>
      </c>
      <c r="G256" t="str" cm="1">
        <f t="array" ref="G256">_xlfn.IFS(AE256="Active", "Retained", AE256="Voluntarily Terminated", "Voluntary Exit", AE256="Terminated for Cause", "Involuntary Exit")</f>
        <v>Retained</v>
      </c>
      <c r="H256">
        <v>10178</v>
      </c>
      <c r="I256">
        <v>1</v>
      </c>
      <c r="J256">
        <v>1</v>
      </c>
      <c r="K256">
        <v>1</v>
      </c>
      <c r="L256">
        <v>1</v>
      </c>
      <c r="M256">
        <v>3</v>
      </c>
      <c r="N256">
        <v>3</v>
      </c>
      <c r="O256">
        <v>0</v>
      </c>
      <c r="P256">
        <v>87826</v>
      </c>
      <c r="Q256">
        <v>0</v>
      </c>
      <c r="R256">
        <v>9</v>
      </c>
      <c r="S256" t="s">
        <v>102</v>
      </c>
      <c r="T256" t="s">
        <v>45</v>
      </c>
      <c r="U256">
        <v>2110</v>
      </c>
      <c r="V256" s="1">
        <v>25607</v>
      </c>
      <c r="W256" t="s">
        <v>46</v>
      </c>
      <c r="X256" t="s">
        <v>59</v>
      </c>
      <c r="Y256" t="s">
        <v>48</v>
      </c>
      <c r="Z256" t="s">
        <v>96</v>
      </c>
      <c r="AA256" t="s">
        <v>50</v>
      </c>
      <c r="AB256" s="1">
        <v>42009</v>
      </c>
      <c r="AD256" t="s">
        <v>51</v>
      </c>
      <c r="AE256" t="s">
        <v>52</v>
      </c>
      <c r="AF256" t="s">
        <v>62</v>
      </c>
      <c r="AG256" t="s">
        <v>63</v>
      </c>
      <c r="AH256">
        <v>4</v>
      </c>
      <c r="AI256" t="s">
        <v>87</v>
      </c>
      <c r="AJ256" t="s">
        <v>65</v>
      </c>
      <c r="AK256">
        <v>3.32</v>
      </c>
      <c r="AL256">
        <v>3</v>
      </c>
      <c r="AM256">
        <v>7</v>
      </c>
      <c r="AN256" s="1">
        <v>43479</v>
      </c>
      <c r="AO256">
        <v>0</v>
      </c>
      <c r="AP256">
        <v>16</v>
      </c>
    </row>
    <row r="257" spans="1:42">
      <c r="A257" t="s">
        <v>431</v>
      </c>
      <c r="B257" t="str">
        <f t="shared" si="9"/>
        <v>Nan</v>
      </c>
      <c r="C257" t="str">
        <f t="shared" si="10"/>
        <v>Singh</v>
      </c>
      <c r="D257">
        <f t="shared" ca="1" si="11"/>
        <v>10</v>
      </c>
      <c r="E257" t="str" cm="1">
        <f t="array" ref="E257">_xlfn.IFS(P257&lt;40000, "Low", P257&lt;70000, "MID", P257&lt;100000, "HIGH", P257&gt;=100000, "Executive")</f>
        <v>MID</v>
      </c>
      <c r="F257" t="str" cm="1">
        <f t="array" ref="F257">_xlfn.IFS(AJ257="Exceeds", "Top Performer", AJ257="Fully Meets", "Solid Performer", AJ257="Needs Improvement", "Underperformer", AJ257="PIP", "At Risk")</f>
        <v>Solid Performer</v>
      </c>
      <c r="G257" t="str" cm="1">
        <f t="array" ref="G257">_xlfn.IFS(AE257="Active", "Retained", AE257="Voluntarily Terminated", "Voluntary Exit", AE257="Terminated for Cause", "Involuntary Exit")</f>
        <v>Retained</v>
      </c>
      <c r="H257">
        <v>10039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3</v>
      </c>
      <c r="O257">
        <v>0</v>
      </c>
      <c r="P257">
        <v>51920</v>
      </c>
      <c r="Q257">
        <v>0</v>
      </c>
      <c r="R257">
        <v>2</v>
      </c>
      <c r="S257" t="s">
        <v>286</v>
      </c>
      <c r="T257" t="s">
        <v>45</v>
      </c>
      <c r="U257">
        <v>2330</v>
      </c>
      <c r="V257" s="1">
        <v>32282</v>
      </c>
      <c r="W257" t="s">
        <v>68</v>
      </c>
      <c r="X257" t="s">
        <v>47</v>
      </c>
      <c r="Y257" t="s">
        <v>48</v>
      </c>
      <c r="Z257" t="s">
        <v>49</v>
      </c>
      <c r="AA257" t="s">
        <v>50</v>
      </c>
      <c r="AB257" s="1">
        <v>42125</v>
      </c>
      <c r="AD257" t="s">
        <v>51</v>
      </c>
      <c r="AE257" t="s">
        <v>52</v>
      </c>
      <c r="AF257" t="s">
        <v>133</v>
      </c>
      <c r="AG257" t="s">
        <v>134</v>
      </c>
      <c r="AH257">
        <v>1</v>
      </c>
      <c r="AI257" t="s">
        <v>208</v>
      </c>
      <c r="AJ257" t="s">
        <v>65</v>
      </c>
      <c r="AK257">
        <v>5</v>
      </c>
      <c r="AL257">
        <v>3</v>
      </c>
      <c r="AM257">
        <v>5</v>
      </c>
      <c r="AN257" s="1">
        <v>43480</v>
      </c>
      <c r="AO257">
        <v>0</v>
      </c>
      <c r="AP257">
        <v>2</v>
      </c>
    </row>
    <row r="258" spans="1:42">
      <c r="A258" t="s">
        <v>432</v>
      </c>
      <c r="B258" t="str">
        <f t="shared" si="9"/>
        <v>Constance</v>
      </c>
      <c r="C258" t="str">
        <f t="shared" si="10"/>
        <v>Sloan</v>
      </c>
      <c r="D258">
        <f t="shared" ca="1" si="11"/>
        <v>5</v>
      </c>
      <c r="E258" t="str" cm="1">
        <f t="array" ref="E258">_xlfn.IFS(P258&lt;40000, "Low", P258&lt;70000, "MID", P258&lt;100000, "HIGH", P258&gt;=100000, "Executive")</f>
        <v>MID</v>
      </c>
      <c r="F258" t="str" cm="1">
        <f t="array" ref="F258">_xlfn.IFS(AJ258="Exceeds", "Top Performer", AJ258="Fully Meets", "Solid Performer", AJ258="Needs Improvement", "Underperformer", AJ258="PIP", "At Risk")</f>
        <v>Solid Performer</v>
      </c>
      <c r="G258" t="str" cm="1">
        <f t="array" ref="G258">_xlfn.IFS(AE258="Active", "Retained", AE258="Voluntarily Terminated", "Voluntary Exit", AE258="Terminated for Cause", "Involuntary Exit")</f>
        <v>Voluntary Exit</v>
      </c>
      <c r="H258">
        <v>10095</v>
      </c>
      <c r="I258">
        <v>0</v>
      </c>
      <c r="J258">
        <v>0</v>
      </c>
      <c r="K258">
        <v>0</v>
      </c>
      <c r="L258">
        <v>5</v>
      </c>
      <c r="M258">
        <v>5</v>
      </c>
      <c r="N258">
        <v>3</v>
      </c>
      <c r="O258">
        <v>0</v>
      </c>
      <c r="P258">
        <v>63878</v>
      </c>
      <c r="Q258">
        <v>1</v>
      </c>
      <c r="R258">
        <v>20</v>
      </c>
      <c r="S258" t="s">
        <v>67</v>
      </c>
      <c r="T258" t="s">
        <v>45</v>
      </c>
      <c r="U258">
        <v>1851</v>
      </c>
      <c r="V258" s="1">
        <v>32106</v>
      </c>
      <c r="W258" t="s">
        <v>68</v>
      </c>
      <c r="X258" t="s">
        <v>47</v>
      </c>
      <c r="Y258" t="s">
        <v>48</v>
      </c>
      <c r="Z258" t="s">
        <v>49</v>
      </c>
      <c r="AA258" t="s">
        <v>50</v>
      </c>
      <c r="AB258" s="1">
        <v>40112</v>
      </c>
      <c r="AC258" s="1">
        <v>42102</v>
      </c>
      <c r="AD258" t="s">
        <v>303</v>
      </c>
      <c r="AE258" t="s">
        <v>61</v>
      </c>
      <c r="AF258" t="s">
        <v>53</v>
      </c>
      <c r="AG258" t="s">
        <v>54</v>
      </c>
      <c r="AH258">
        <v>22</v>
      </c>
      <c r="AI258" t="s">
        <v>124</v>
      </c>
      <c r="AJ258" t="s">
        <v>65</v>
      </c>
      <c r="AK258">
        <v>4.68</v>
      </c>
      <c r="AL258">
        <v>4</v>
      </c>
      <c r="AM258">
        <v>0</v>
      </c>
      <c r="AN258" s="1">
        <v>42096</v>
      </c>
      <c r="AO258">
        <v>0</v>
      </c>
      <c r="AP258">
        <v>20</v>
      </c>
    </row>
    <row r="259" spans="1:42">
      <c r="A259" t="s">
        <v>433</v>
      </c>
      <c r="B259" t="str">
        <f t="shared" ref="B259:B312" si="12">TRIM(MID(A259, FIND(",", A259)+1, LEN(A259)))</f>
        <v>Joe</v>
      </c>
      <c r="C259" t="str">
        <f t="shared" ref="C259:C312" si="13">TRIM(LEFT(A259, FIND(",", A259)-1))</f>
        <v>Smith</v>
      </c>
      <c r="D259">
        <f t="shared" ref="D259:D312" ca="1" si="14">IFERROR(DATEDIF(AB259, AC259, "Y"), DATEDIF(AB259, TODAY(), "Y"))</f>
        <v>11</v>
      </c>
      <c r="E259" t="str" cm="1">
        <f t="array" ref="E259">_xlfn.IFS(P259&lt;40000, "Low", P259&lt;70000, "MID", P259&lt;100000, "HIGH", P259&gt;=100000, "Executive")</f>
        <v>MID</v>
      </c>
      <c r="F259" t="str" cm="1">
        <f t="array" ref="F259">_xlfn.IFS(AJ259="Exceeds", "Top Performer", AJ259="Fully Meets", "Solid Performer", AJ259="Needs Improvement", "Underperformer", AJ259="PIP", "At Risk")</f>
        <v>Top Performer</v>
      </c>
      <c r="G259" t="str" cm="1">
        <f t="array" ref="G259">_xlfn.IFS(AE259="Active", "Retained", AE259="Voluntarily Terminated", "Voluntary Exit", AE259="Terminated for Cause", "Involuntary Exit")</f>
        <v>Retained</v>
      </c>
      <c r="H259">
        <v>10027</v>
      </c>
      <c r="I259">
        <v>0</v>
      </c>
      <c r="J259">
        <v>0</v>
      </c>
      <c r="K259">
        <v>1</v>
      </c>
      <c r="L259">
        <v>1</v>
      </c>
      <c r="M259">
        <v>5</v>
      </c>
      <c r="N259">
        <v>4</v>
      </c>
      <c r="O259">
        <v>0</v>
      </c>
      <c r="P259">
        <v>60656</v>
      </c>
      <c r="Q259">
        <v>0</v>
      </c>
      <c r="R259">
        <v>20</v>
      </c>
      <c r="S259" t="s">
        <v>67</v>
      </c>
      <c r="T259" t="s">
        <v>45</v>
      </c>
      <c r="U259">
        <v>2045</v>
      </c>
      <c r="V259" s="1">
        <v>23314</v>
      </c>
      <c r="W259" t="s">
        <v>46</v>
      </c>
      <c r="X259" t="s">
        <v>47</v>
      </c>
      <c r="Y259" t="s">
        <v>48</v>
      </c>
      <c r="Z259" t="s">
        <v>49</v>
      </c>
      <c r="AA259" t="s">
        <v>50</v>
      </c>
      <c r="AB259" s="1">
        <v>41911</v>
      </c>
      <c r="AD259" t="s">
        <v>51</v>
      </c>
      <c r="AE259" t="s">
        <v>52</v>
      </c>
      <c r="AF259" t="s">
        <v>53</v>
      </c>
      <c r="AG259" t="s">
        <v>72</v>
      </c>
      <c r="AH259">
        <v>16</v>
      </c>
      <c r="AI259" t="s">
        <v>64</v>
      </c>
      <c r="AJ259" t="s">
        <v>56</v>
      </c>
      <c r="AK259">
        <v>4.3</v>
      </c>
      <c r="AL259">
        <v>3</v>
      </c>
      <c r="AM259">
        <v>0</v>
      </c>
      <c r="AN259" s="1">
        <v>43493</v>
      </c>
      <c r="AO259">
        <v>0</v>
      </c>
      <c r="AP259">
        <v>4</v>
      </c>
    </row>
    <row r="260" spans="1:42">
      <c r="A260" t="s">
        <v>434</v>
      </c>
      <c r="B260" t="str">
        <f t="shared" si="12"/>
        <v>John</v>
      </c>
      <c r="C260" t="str">
        <f t="shared" si="13"/>
        <v>Smith</v>
      </c>
      <c r="D260">
        <f t="shared" ca="1" si="14"/>
        <v>11</v>
      </c>
      <c r="E260" t="str" cm="1">
        <f t="array" ref="E260">_xlfn.IFS(P260&lt;40000, "Low", P260&lt;70000, "MID", P260&lt;100000, "HIGH", P260&gt;=100000, "Executive")</f>
        <v>HIGH</v>
      </c>
      <c r="F260" t="str" cm="1">
        <f t="array" ref="F260">_xlfn.IFS(AJ260="Exceeds", "Top Performer", AJ260="Fully Meets", "Solid Performer", AJ260="Needs Improvement", "Underperformer", AJ260="PIP", "At Risk")</f>
        <v>Underperformer</v>
      </c>
      <c r="G260" t="str" cm="1">
        <f t="array" ref="G260">_xlfn.IFS(AE260="Active", "Retained", AE260="Voluntarily Terminated", "Voluntary Exit", AE260="Terminated for Cause", "Involuntary Exit")</f>
        <v>Retained</v>
      </c>
      <c r="H260">
        <v>10291</v>
      </c>
      <c r="I260">
        <v>0</v>
      </c>
      <c r="J260">
        <v>2</v>
      </c>
      <c r="K260">
        <v>1</v>
      </c>
      <c r="L260">
        <v>1</v>
      </c>
      <c r="M260">
        <v>6</v>
      </c>
      <c r="N260">
        <v>2</v>
      </c>
      <c r="O260">
        <v>1</v>
      </c>
      <c r="P260">
        <v>72992</v>
      </c>
      <c r="Q260">
        <v>0</v>
      </c>
      <c r="R260">
        <v>21</v>
      </c>
      <c r="S260" t="s">
        <v>188</v>
      </c>
      <c r="T260" t="s">
        <v>45</v>
      </c>
      <c r="U260">
        <v>1886</v>
      </c>
      <c r="V260" s="1">
        <v>30910</v>
      </c>
      <c r="W260" t="s">
        <v>46</v>
      </c>
      <c r="X260" t="s">
        <v>74</v>
      </c>
      <c r="Y260" t="s">
        <v>48</v>
      </c>
      <c r="Z260" t="s">
        <v>49</v>
      </c>
      <c r="AA260" t="s">
        <v>89</v>
      </c>
      <c r="AB260" s="1">
        <v>41777</v>
      </c>
      <c r="AD260" t="s">
        <v>51</v>
      </c>
      <c r="AE260" t="s">
        <v>52</v>
      </c>
      <c r="AF260" t="s">
        <v>148</v>
      </c>
      <c r="AG260" t="s">
        <v>189</v>
      </c>
      <c r="AH260">
        <v>15</v>
      </c>
      <c r="AI260" t="s">
        <v>91</v>
      </c>
      <c r="AJ260" t="s">
        <v>125</v>
      </c>
      <c r="AK260">
        <v>2.4</v>
      </c>
      <c r="AL260">
        <v>4</v>
      </c>
      <c r="AM260">
        <v>0</v>
      </c>
      <c r="AN260" s="1">
        <v>43481</v>
      </c>
      <c r="AO260">
        <v>2</v>
      </c>
      <c r="AP260">
        <v>16</v>
      </c>
    </row>
    <row r="261" spans="1:42">
      <c r="A261" t="s">
        <v>435</v>
      </c>
      <c r="B261" t="str">
        <f t="shared" si="12"/>
        <v>Leigh Ann</v>
      </c>
      <c r="C261" t="str">
        <f t="shared" si="13"/>
        <v>Smith</v>
      </c>
      <c r="D261">
        <f t="shared" ca="1" si="14"/>
        <v>1</v>
      </c>
      <c r="E261" t="str" cm="1">
        <f t="array" ref="E261">_xlfn.IFS(P261&lt;40000, "Low", P261&lt;70000, "MID", P261&lt;100000, "HIGH", P261&gt;=100000, "Executive")</f>
        <v>MID</v>
      </c>
      <c r="F261" t="str" cm="1">
        <f t="array" ref="F261">_xlfn.IFS(AJ261="Exceeds", "Top Performer", AJ261="Fully Meets", "Solid Performer", AJ261="Needs Improvement", "Underperformer", AJ261="PIP", "At Risk")</f>
        <v>Solid Performer</v>
      </c>
      <c r="G261" t="str" cm="1">
        <f t="array" ref="G261">_xlfn.IFS(AE261="Active", "Retained", AE261="Voluntarily Terminated", "Voluntary Exit", AE261="Terminated for Cause", "Involuntary Exit")</f>
        <v>Voluntary Exit</v>
      </c>
      <c r="H261">
        <v>10153</v>
      </c>
      <c r="I261">
        <v>1</v>
      </c>
      <c r="J261">
        <v>1</v>
      </c>
      <c r="K261">
        <v>0</v>
      </c>
      <c r="L261">
        <v>5</v>
      </c>
      <c r="M261">
        <v>1</v>
      </c>
      <c r="N261">
        <v>3</v>
      </c>
      <c r="O261">
        <v>1</v>
      </c>
      <c r="P261">
        <v>55000</v>
      </c>
      <c r="Q261">
        <v>1</v>
      </c>
      <c r="R261">
        <v>2</v>
      </c>
      <c r="S261" t="s">
        <v>286</v>
      </c>
      <c r="T261" t="s">
        <v>45</v>
      </c>
      <c r="U261">
        <v>1844</v>
      </c>
      <c r="V261" s="1">
        <v>31942</v>
      </c>
      <c r="W261" t="s">
        <v>68</v>
      </c>
      <c r="X261" t="s">
        <v>59</v>
      </c>
      <c r="Y261" t="s">
        <v>48</v>
      </c>
      <c r="Z261" t="s">
        <v>49</v>
      </c>
      <c r="AA261" t="s">
        <v>89</v>
      </c>
      <c r="AB261" s="1">
        <v>40812</v>
      </c>
      <c r="AC261" s="1">
        <v>41542</v>
      </c>
      <c r="AD261" t="s">
        <v>60</v>
      </c>
      <c r="AE261" t="s">
        <v>61</v>
      </c>
      <c r="AF261" t="s">
        <v>133</v>
      </c>
      <c r="AG261" t="s">
        <v>134</v>
      </c>
      <c r="AH261">
        <v>1</v>
      </c>
      <c r="AI261" t="s">
        <v>91</v>
      </c>
      <c r="AJ261" t="s">
        <v>65</v>
      </c>
      <c r="AK261">
        <v>3.8</v>
      </c>
      <c r="AL261">
        <v>4</v>
      </c>
      <c r="AM261">
        <v>4</v>
      </c>
      <c r="AN261" s="1">
        <v>41501</v>
      </c>
      <c r="AO261">
        <v>0</v>
      </c>
      <c r="AP261">
        <v>17</v>
      </c>
    </row>
    <row r="262" spans="1:42">
      <c r="A262" t="s">
        <v>436</v>
      </c>
      <c r="B262" t="str">
        <f t="shared" si="12"/>
        <v>Sade</v>
      </c>
      <c r="C262" t="str">
        <f t="shared" si="13"/>
        <v>Smith</v>
      </c>
      <c r="D262">
        <f t="shared" ca="1" si="14"/>
        <v>12</v>
      </c>
      <c r="E262" t="str" cm="1">
        <f t="array" ref="E262">_xlfn.IFS(P262&lt;40000, "Low", P262&lt;70000, "MID", P262&lt;100000, "HIGH", P262&gt;=100000, "Executive")</f>
        <v>MID</v>
      </c>
      <c r="F262" t="str" cm="1">
        <f t="array" ref="F262">_xlfn.IFS(AJ262="Exceeds", "Top Performer", AJ262="Fully Meets", "Solid Performer", AJ262="Needs Improvement", "Underperformer", AJ262="PIP", "At Risk")</f>
        <v>Solid Performer</v>
      </c>
      <c r="G262" t="str" cm="1">
        <f t="array" ref="G262">_xlfn.IFS(AE262="Active", "Retained", AE262="Voluntarily Terminated", "Voluntary Exit", AE262="Terminated for Cause", "Involuntary Exit")</f>
        <v>Retained</v>
      </c>
      <c r="H262">
        <v>10157</v>
      </c>
      <c r="I262">
        <v>0</v>
      </c>
      <c r="J262">
        <v>0</v>
      </c>
      <c r="K262">
        <v>0</v>
      </c>
      <c r="L262">
        <v>1</v>
      </c>
      <c r="M262">
        <v>5</v>
      </c>
      <c r="N262">
        <v>3</v>
      </c>
      <c r="O262">
        <v>0</v>
      </c>
      <c r="P262">
        <v>58939</v>
      </c>
      <c r="Q262">
        <v>0</v>
      </c>
      <c r="R262">
        <v>19</v>
      </c>
      <c r="S262" t="s">
        <v>44</v>
      </c>
      <c r="T262" t="s">
        <v>45</v>
      </c>
      <c r="U262">
        <v>2130</v>
      </c>
      <c r="V262" s="1">
        <v>23775</v>
      </c>
      <c r="W262" t="s">
        <v>68</v>
      </c>
      <c r="X262" t="s">
        <v>47</v>
      </c>
      <c r="Y262" t="s">
        <v>48</v>
      </c>
      <c r="Z262" t="s">
        <v>49</v>
      </c>
      <c r="AA262" t="s">
        <v>50</v>
      </c>
      <c r="AB262" s="1">
        <v>41589</v>
      </c>
      <c r="AD262" t="s">
        <v>51</v>
      </c>
      <c r="AE262" t="s">
        <v>52</v>
      </c>
      <c r="AF262" t="s">
        <v>53</v>
      </c>
      <c r="AG262" t="s">
        <v>86</v>
      </c>
      <c r="AH262">
        <v>19</v>
      </c>
      <c r="AI262" t="s">
        <v>87</v>
      </c>
      <c r="AJ262" t="s">
        <v>65</v>
      </c>
      <c r="AK262">
        <v>3.73</v>
      </c>
      <c r="AL262">
        <v>3</v>
      </c>
      <c r="AM262">
        <v>0</v>
      </c>
      <c r="AN262" s="1">
        <v>43489</v>
      </c>
      <c r="AO262">
        <v>0</v>
      </c>
      <c r="AP262">
        <v>16</v>
      </c>
    </row>
    <row r="263" spans="1:42">
      <c r="A263" t="s">
        <v>437</v>
      </c>
      <c r="B263" t="str">
        <f t="shared" si="12"/>
        <v>Julia</v>
      </c>
      <c r="C263" t="str">
        <f t="shared" si="13"/>
        <v>Soto</v>
      </c>
      <c r="D263">
        <f t="shared" ca="1" si="14"/>
        <v>14</v>
      </c>
      <c r="E263" t="str" cm="1">
        <f t="array" ref="E263">_xlfn.IFS(P263&lt;40000, "Low", P263&lt;70000, "MID", P263&lt;100000, "HIGH", P263&gt;=100000, "Executive")</f>
        <v>MID</v>
      </c>
      <c r="F263" t="str" cm="1">
        <f t="array" ref="F263">_xlfn.IFS(AJ263="Exceeds", "Top Performer", AJ263="Fully Meets", "Solid Performer", AJ263="Needs Improvement", "Underperformer", AJ263="PIP", "At Risk")</f>
        <v>Solid Performer</v>
      </c>
      <c r="G263" t="str" cm="1">
        <f t="array" ref="G263">_xlfn.IFS(AE263="Active", "Retained", AE263="Voluntarily Terminated", "Voluntary Exit", AE263="Terminated for Cause", "Involuntary Exit")</f>
        <v>Retained</v>
      </c>
      <c r="H263">
        <v>10119</v>
      </c>
      <c r="I263">
        <v>1</v>
      </c>
      <c r="J263">
        <v>1</v>
      </c>
      <c r="K263">
        <v>0</v>
      </c>
      <c r="L263">
        <v>1</v>
      </c>
      <c r="M263">
        <v>3</v>
      </c>
      <c r="N263">
        <v>3</v>
      </c>
      <c r="O263">
        <v>0</v>
      </c>
      <c r="P263">
        <v>66593</v>
      </c>
      <c r="Q263">
        <v>0</v>
      </c>
      <c r="R263">
        <v>14</v>
      </c>
      <c r="S263" t="s">
        <v>93</v>
      </c>
      <c r="T263" t="s">
        <v>45</v>
      </c>
      <c r="U263">
        <v>2360</v>
      </c>
      <c r="V263" s="1">
        <v>26735</v>
      </c>
      <c r="W263" t="s">
        <v>68</v>
      </c>
      <c r="X263" t="s">
        <v>59</v>
      </c>
      <c r="Y263" t="s">
        <v>48</v>
      </c>
      <c r="Z263" t="s">
        <v>49</v>
      </c>
      <c r="AA263" t="s">
        <v>89</v>
      </c>
      <c r="AB263" s="1">
        <v>40704</v>
      </c>
      <c r="AD263" t="s">
        <v>51</v>
      </c>
      <c r="AE263" t="s">
        <v>52</v>
      </c>
      <c r="AF263" t="s">
        <v>62</v>
      </c>
      <c r="AG263" t="s">
        <v>173</v>
      </c>
      <c r="AH263">
        <v>6</v>
      </c>
      <c r="AI263" t="s">
        <v>55</v>
      </c>
      <c r="AJ263" t="s">
        <v>65</v>
      </c>
      <c r="AK263">
        <v>4.3</v>
      </c>
      <c r="AL263">
        <v>3</v>
      </c>
      <c r="AM263">
        <v>5</v>
      </c>
      <c r="AN263" s="1">
        <v>43504</v>
      </c>
      <c r="AO263">
        <v>0</v>
      </c>
      <c r="AP263">
        <v>19</v>
      </c>
    </row>
    <row r="264" spans="1:42">
      <c r="A264" t="s">
        <v>438</v>
      </c>
      <c r="B264" t="str">
        <f t="shared" si="12"/>
        <v>Keyser</v>
      </c>
      <c r="C264" t="str">
        <f t="shared" si="13"/>
        <v>Soze</v>
      </c>
      <c r="D264">
        <f t="shared" ca="1" si="14"/>
        <v>9</v>
      </c>
      <c r="E264" t="str" cm="1">
        <f t="array" ref="E264">_xlfn.IFS(P264&lt;40000, "Low", P264&lt;70000, "MID", P264&lt;100000, "HIGH", P264&gt;=100000, "Executive")</f>
        <v>HIGH</v>
      </c>
      <c r="F264" t="str" cm="1">
        <f t="array" ref="F264">_xlfn.IFS(AJ264="Exceeds", "Top Performer", AJ264="Fully Meets", "Solid Performer", AJ264="Needs Improvement", "Underperformer", AJ264="PIP", "At Risk")</f>
        <v>Solid Performer</v>
      </c>
      <c r="G264" t="str" cm="1">
        <f t="array" ref="G264">_xlfn.IFS(AE264="Active", "Retained", AE264="Voluntarily Terminated", "Voluntary Exit", AE264="Terminated for Cause", "Involuntary Exit")</f>
        <v>Retained</v>
      </c>
      <c r="H264">
        <v>10180</v>
      </c>
      <c r="I264">
        <v>1</v>
      </c>
      <c r="J264">
        <v>1</v>
      </c>
      <c r="K264">
        <v>1</v>
      </c>
      <c r="L264">
        <v>2</v>
      </c>
      <c r="M264">
        <v>3</v>
      </c>
      <c r="N264">
        <v>3</v>
      </c>
      <c r="O264">
        <v>0</v>
      </c>
      <c r="P264">
        <v>87565</v>
      </c>
      <c r="Q264">
        <v>0</v>
      </c>
      <c r="R264">
        <v>28</v>
      </c>
      <c r="S264" t="s">
        <v>186</v>
      </c>
      <c r="T264" t="s">
        <v>45</v>
      </c>
      <c r="U264">
        <v>1545</v>
      </c>
      <c r="V264" s="1">
        <v>30356</v>
      </c>
      <c r="W264" t="s">
        <v>46</v>
      </c>
      <c r="X264" t="s">
        <v>59</v>
      </c>
      <c r="Y264" t="s">
        <v>48</v>
      </c>
      <c r="Z264" t="s">
        <v>49</v>
      </c>
      <c r="AA264" t="s">
        <v>119</v>
      </c>
      <c r="AB264" s="1">
        <v>42551</v>
      </c>
      <c r="AD264" t="s">
        <v>51</v>
      </c>
      <c r="AE264" t="s">
        <v>52</v>
      </c>
      <c r="AF264" t="s">
        <v>62</v>
      </c>
      <c r="AG264" t="s">
        <v>94</v>
      </c>
      <c r="AH264">
        <v>7</v>
      </c>
      <c r="AI264" t="s">
        <v>55</v>
      </c>
      <c r="AJ264" t="s">
        <v>65</v>
      </c>
      <c r="AK264">
        <v>3.27</v>
      </c>
      <c r="AL264">
        <v>4</v>
      </c>
      <c r="AM264">
        <v>5</v>
      </c>
      <c r="AN264" s="1">
        <v>43479</v>
      </c>
      <c r="AO264">
        <v>0</v>
      </c>
      <c r="AP264">
        <v>13</v>
      </c>
    </row>
    <row r="265" spans="1:42">
      <c r="A265" t="s">
        <v>439</v>
      </c>
      <c r="B265" t="str">
        <f t="shared" si="12"/>
        <v>Taylor</v>
      </c>
      <c r="C265" t="str">
        <f t="shared" si="13"/>
        <v>Sparks</v>
      </c>
      <c r="D265">
        <f t="shared" ca="1" si="14"/>
        <v>14</v>
      </c>
      <c r="E265" t="str" cm="1">
        <f t="array" ref="E265">_xlfn.IFS(P265&lt;40000, "Low", P265&lt;70000, "MID", P265&lt;100000, "HIGH", P265&gt;=100000, "Executive")</f>
        <v>MID</v>
      </c>
      <c r="F265" t="str" cm="1">
        <f t="array" ref="F265">_xlfn.IFS(AJ265="Exceeds", "Top Performer", AJ265="Fully Meets", "Solid Performer", AJ265="Needs Improvement", "Underperformer", AJ265="PIP", "At Risk")</f>
        <v>At Risk</v>
      </c>
      <c r="G265" t="str" cm="1">
        <f t="array" ref="G265">_xlfn.IFS(AE265="Active", "Retained", AE265="Voluntarily Terminated", "Voluntary Exit", AE265="Terminated for Cause", "Involuntary Exit")</f>
        <v>Retained</v>
      </c>
      <c r="H265">
        <v>10302</v>
      </c>
      <c r="I265">
        <v>1</v>
      </c>
      <c r="J265">
        <v>1</v>
      </c>
      <c r="K265">
        <v>0</v>
      </c>
      <c r="L265">
        <v>1</v>
      </c>
      <c r="M265">
        <v>5</v>
      </c>
      <c r="N265">
        <v>1</v>
      </c>
      <c r="O265">
        <v>0</v>
      </c>
      <c r="P265">
        <v>64021</v>
      </c>
      <c r="Q265">
        <v>0</v>
      </c>
      <c r="R265">
        <v>19</v>
      </c>
      <c r="S265" t="s">
        <v>44</v>
      </c>
      <c r="T265" t="s">
        <v>45</v>
      </c>
      <c r="U265">
        <v>2093</v>
      </c>
      <c r="V265" s="1">
        <v>25039</v>
      </c>
      <c r="W265" t="s">
        <v>68</v>
      </c>
      <c r="X265" t="s">
        <v>59</v>
      </c>
      <c r="Y265" t="s">
        <v>48</v>
      </c>
      <c r="Z265" t="s">
        <v>49</v>
      </c>
      <c r="AA265" t="s">
        <v>50</v>
      </c>
      <c r="AB265" s="1">
        <v>40959</v>
      </c>
      <c r="AD265" t="s">
        <v>51</v>
      </c>
      <c r="AE265" t="s">
        <v>52</v>
      </c>
      <c r="AF265" t="s">
        <v>53</v>
      </c>
      <c r="AG265" t="s">
        <v>90</v>
      </c>
      <c r="AH265">
        <v>12</v>
      </c>
      <c r="AI265" t="s">
        <v>64</v>
      </c>
      <c r="AJ265" t="s">
        <v>198</v>
      </c>
      <c r="AK265">
        <v>2.4</v>
      </c>
      <c r="AL265">
        <v>2</v>
      </c>
      <c r="AM265">
        <v>1</v>
      </c>
      <c r="AN265" s="1">
        <v>43521</v>
      </c>
      <c r="AO265">
        <v>6</v>
      </c>
      <c r="AP265">
        <v>20</v>
      </c>
    </row>
    <row r="266" spans="1:42">
      <c r="A266" t="s">
        <v>440</v>
      </c>
      <c r="B266" t="str">
        <f t="shared" si="12"/>
        <v>Kelley</v>
      </c>
      <c r="C266" t="str">
        <f t="shared" si="13"/>
        <v>Spirea</v>
      </c>
      <c r="D266">
        <f t="shared" ca="1" si="14"/>
        <v>13</v>
      </c>
      <c r="E266" t="str" cm="1">
        <f t="array" ref="E266">_xlfn.IFS(P266&lt;40000, "Low", P266&lt;70000, "MID", P266&lt;100000, "HIGH", P266&gt;=100000, "Executive")</f>
        <v>MID</v>
      </c>
      <c r="F266" t="str" cm="1">
        <f t="array" ref="F266">_xlfn.IFS(AJ266="Exceeds", "Top Performer", AJ266="Fully Meets", "Solid Performer", AJ266="Needs Improvement", "Underperformer", AJ266="PIP", "At Risk")</f>
        <v>Solid Performer</v>
      </c>
      <c r="G266" t="str" cm="1">
        <f t="array" ref="G266">_xlfn.IFS(AE266="Active", "Retained", AE266="Voluntarily Terminated", "Voluntary Exit", AE266="Terminated for Cause", "Involuntary Exit")</f>
        <v>Retained</v>
      </c>
      <c r="H266">
        <v>10090</v>
      </c>
      <c r="I266">
        <v>1</v>
      </c>
      <c r="J266">
        <v>1</v>
      </c>
      <c r="K266">
        <v>0</v>
      </c>
      <c r="L266">
        <v>1</v>
      </c>
      <c r="M266">
        <v>5</v>
      </c>
      <c r="N266">
        <v>3</v>
      </c>
      <c r="O266">
        <v>0</v>
      </c>
      <c r="P266">
        <v>65714</v>
      </c>
      <c r="Q266">
        <v>0</v>
      </c>
      <c r="R266">
        <v>18</v>
      </c>
      <c r="S266" t="s">
        <v>136</v>
      </c>
      <c r="T266" t="s">
        <v>45</v>
      </c>
      <c r="U266">
        <v>2451</v>
      </c>
      <c r="V266" s="1">
        <v>27667</v>
      </c>
      <c r="W266" t="s">
        <v>68</v>
      </c>
      <c r="X266" t="s">
        <v>59</v>
      </c>
      <c r="Y266" t="s">
        <v>48</v>
      </c>
      <c r="Z266" t="s">
        <v>49</v>
      </c>
      <c r="AA266" t="s">
        <v>50</v>
      </c>
      <c r="AB266" s="1">
        <v>41184</v>
      </c>
      <c r="AD266" t="s">
        <v>51</v>
      </c>
      <c r="AE266" t="s">
        <v>52</v>
      </c>
      <c r="AF266" t="s">
        <v>53</v>
      </c>
      <c r="AG266" t="s">
        <v>138</v>
      </c>
      <c r="AH266">
        <v>2</v>
      </c>
      <c r="AI266" t="s">
        <v>55</v>
      </c>
      <c r="AJ266" t="s">
        <v>65</v>
      </c>
      <c r="AK266">
        <v>4.83</v>
      </c>
      <c r="AL266">
        <v>5</v>
      </c>
      <c r="AM266">
        <v>0</v>
      </c>
      <c r="AN266" s="1">
        <v>43510</v>
      </c>
      <c r="AO266">
        <v>0</v>
      </c>
      <c r="AP266">
        <v>15</v>
      </c>
    </row>
    <row r="267" spans="1:42">
      <c r="A267" t="s">
        <v>441</v>
      </c>
      <c r="B267" t="str">
        <f t="shared" si="12"/>
        <v>Kristen</v>
      </c>
      <c r="C267" t="str">
        <f t="shared" si="13"/>
        <v>Squatrito</v>
      </c>
      <c r="D267">
        <f t="shared" ca="1" si="14"/>
        <v>2</v>
      </c>
      <c r="E267" t="str" cm="1">
        <f t="array" ref="E267">_xlfn.IFS(P267&lt;40000, "Low", P267&lt;70000, "MID", P267&lt;100000, "HIGH", P267&gt;=100000, "Executive")</f>
        <v>MID</v>
      </c>
      <c r="F267" t="str" cm="1">
        <f t="array" ref="F267">_xlfn.IFS(AJ267="Exceeds", "Top Performer", AJ267="Fully Meets", "Solid Performer", AJ267="Needs Improvement", "Underperformer", AJ267="PIP", "At Risk")</f>
        <v>Top Performer</v>
      </c>
      <c r="G267" t="str" cm="1">
        <f t="array" ref="G267">_xlfn.IFS(AE267="Active", "Retained", AE267="Voluntarily Terminated", "Voluntary Exit", AE267="Terminated for Cause", "Involuntary Exit")</f>
        <v>Voluntary Exit</v>
      </c>
      <c r="H267">
        <v>10030</v>
      </c>
      <c r="I267">
        <v>0</v>
      </c>
      <c r="J267">
        <v>2</v>
      </c>
      <c r="K267">
        <v>0</v>
      </c>
      <c r="L267">
        <v>5</v>
      </c>
      <c r="M267">
        <v>5</v>
      </c>
      <c r="N267">
        <v>4</v>
      </c>
      <c r="O267">
        <v>0</v>
      </c>
      <c r="P267">
        <v>62425</v>
      </c>
      <c r="Q267">
        <v>1</v>
      </c>
      <c r="R267">
        <v>19</v>
      </c>
      <c r="S267" t="s">
        <v>44</v>
      </c>
      <c r="T267" t="s">
        <v>45</v>
      </c>
      <c r="U267">
        <v>2359</v>
      </c>
      <c r="V267" s="1">
        <v>26749</v>
      </c>
      <c r="W267" t="s">
        <v>68</v>
      </c>
      <c r="X267" t="s">
        <v>74</v>
      </c>
      <c r="Y267" t="s">
        <v>48</v>
      </c>
      <c r="Z267" t="s">
        <v>49</v>
      </c>
      <c r="AA267" t="s">
        <v>50</v>
      </c>
      <c r="AB267" s="1">
        <v>41407</v>
      </c>
      <c r="AC267" s="1">
        <v>42184</v>
      </c>
      <c r="AD267" t="s">
        <v>100</v>
      </c>
      <c r="AE267" t="s">
        <v>61</v>
      </c>
      <c r="AF267" t="s">
        <v>53</v>
      </c>
      <c r="AG267" t="s">
        <v>98</v>
      </c>
      <c r="AH267">
        <v>14</v>
      </c>
      <c r="AI267" t="s">
        <v>55</v>
      </c>
      <c r="AJ267" t="s">
        <v>56</v>
      </c>
      <c r="AK267">
        <v>4.0999999999999996</v>
      </c>
      <c r="AL267">
        <v>4</v>
      </c>
      <c r="AM267">
        <v>0</v>
      </c>
      <c r="AN267" s="1">
        <v>42065</v>
      </c>
      <c r="AO267">
        <v>0</v>
      </c>
      <c r="AP267">
        <v>16</v>
      </c>
    </row>
    <row r="268" spans="1:42">
      <c r="A268" t="s">
        <v>442</v>
      </c>
      <c r="B268" t="str">
        <f t="shared" si="12"/>
        <v>Barbara M</v>
      </c>
      <c r="C268" t="str">
        <f t="shared" si="13"/>
        <v>Stanford</v>
      </c>
      <c r="D268">
        <f t="shared" ca="1" si="14"/>
        <v>15</v>
      </c>
      <c r="E268" t="str" cm="1">
        <f t="array" ref="E268">_xlfn.IFS(P268&lt;40000, "Low", P268&lt;70000, "MID", P268&lt;100000, "HIGH", P268&gt;=100000, "Executive")</f>
        <v>MID</v>
      </c>
      <c r="F268" t="str" cm="1">
        <f t="array" ref="F268">_xlfn.IFS(AJ268="Exceeds", "Top Performer", AJ268="Fully Meets", "Solid Performer", AJ268="Needs Improvement", "Underperformer", AJ268="PIP", "At Risk")</f>
        <v>Solid Performer</v>
      </c>
      <c r="G268" t="str" cm="1">
        <f t="array" ref="G268">_xlfn.IFS(AE268="Active", "Retained", AE268="Voluntarily Terminated", "Voluntary Exit", AE268="Terminated for Cause", "Involuntary Exit")</f>
        <v>Retained</v>
      </c>
      <c r="H268">
        <v>10278</v>
      </c>
      <c r="I268">
        <v>0</v>
      </c>
      <c r="J268">
        <v>2</v>
      </c>
      <c r="K268">
        <v>0</v>
      </c>
      <c r="L268">
        <v>1</v>
      </c>
      <c r="M268">
        <v>5</v>
      </c>
      <c r="N268">
        <v>3</v>
      </c>
      <c r="O268">
        <v>0</v>
      </c>
      <c r="P268">
        <v>47961</v>
      </c>
      <c r="Q268">
        <v>0</v>
      </c>
      <c r="R268">
        <v>19</v>
      </c>
      <c r="S268" t="s">
        <v>44</v>
      </c>
      <c r="T268" t="s">
        <v>45</v>
      </c>
      <c r="U268">
        <v>2050</v>
      </c>
      <c r="V268" s="1">
        <v>30188</v>
      </c>
      <c r="W268" t="s">
        <v>68</v>
      </c>
      <c r="X268" t="s">
        <v>74</v>
      </c>
      <c r="Y268" t="s">
        <v>48</v>
      </c>
      <c r="Z268" t="s">
        <v>49</v>
      </c>
      <c r="AA268" t="s">
        <v>105</v>
      </c>
      <c r="AB268" s="1">
        <v>40553</v>
      </c>
      <c r="AD268" t="s">
        <v>51</v>
      </c>
      <c r="AE268" t="s">
        <v>52</v>
      </c>
      <c r="AF268" t="s">
        <v>53</v>
      </c>
      <c r="AG268" t="s">
        <v>70</v>
      </c>
      <c r="AH268">
        <v>20</v>
      </c>
      <c r="AI268" t="s">
        <v>77</v>
      </c>
      <c r="AJ268" t="s">
        <v>65</v>
      </c>
      <c r="AK268">
        <v>4.0999999999999996</v>
      </c>
      <c r="AL268">
        <v>4</v>
      </c>
      <c r="AM268">
        <v>0</v>
      </c>
      <c r="AN268" s="1">
        <v>43503</v>
      </c>
      <c r="AO268">
        <v>0</v>
      </c>
      <c r="AP268">
        <v>9</v>
      </c>
    </row>
    <row r="269" spans="1:42">
      <c r="A269" t="s">
        <v>443</v>
      </c>
      <c r="B269" t="str">
        <f t="shared" si="12"/>
        <v>Norman</v>
      </c>
      <c r="C269" t="str">
        <f t="shared" si="13"/>
        <v>Stansfield</v>
      </c>
      <c r="D269">
        <f t="shared" ca="1" si="14"/>
        <v>11</v>
      </c>
      <c r="E269" t="str" cm="1">
        <f t="array" ref="E269">_xlfn.IFS(P269&lt;40000, "Low", P269&lt;70000, "MID", P269&lt;100000, "HIGH", P269&gt;=100000, "Executive")</f>
        <v>MID</v>
      </c>
      <c r="F269" t="str" cm="1">
        <f t="array" ref="F269">_xlfn.IFS(AJ269="Exceeds", "Top Performer", AJ269="Fully Meets", "Solid Performer", AJ269="Needs Improvement", "Underperformer", AJ269="PIP", "At Risk")</f>
        <v>At Risk</v>
      </c>
      <c r="G269" t="str" cm="1">
        <f t="array" ref="G269">_xlfn.IFS(AE269="Active", "Retained", AE269="Voluntarily Terminated", "Voluntary Exit", AE269="Terminated for Cause", "Involuntary Exit")</f>
        <v>Retained</v>
      </c>
      <c r="H269">
        <v>10307</v>
      </c>
      <c r="I269">
        <v>1</v>
      </c>
      <c r="J269">
        <v>1</v>
      </c>
      <c r="K269">
        <v>1</v>
      </c>
      <c r="L269">
        <v>1</v>
      </c>
      <c r="M269">
        <v>6</v>
      </c>
      <c r="N269">
        <v>1</v>
      </c>
      <c r="O269">
        <v>0</v>
      </c>
      <c r="P269">
        <v>58273</v>
      </c>
      <c r="Q269">
        <v>0</v>
      </c>
      <c r="R269">
        <v>3</v>
      </c>
      <c r="S269" t="s">
        <v>146</v>
      </c>
      <c r="T269" t="s">
        <v>444</v>
      </c>
      <c r="U269">
        <v>89139</v>
      </c>
      <c r="V269" s="1">
        <v>27158</v>
      </c>
      <c r="W269" t="s">
        <v>46</v>
      </c>
      <c r="X269" t="s">
        <v>59</v>
      </c>
      <c r="Y269" t="s">
        <v>48</v>
      </c>
      <c r="Z269" t="s">
        <v>49</v>
      </c>
      <c r="AA269" t="s">
        <v>50</v>
      </c>
      <c r="AB269" s="1">
        <v>41771</v>
      </c>
      <c r="AD269" t="s">
        <v>51</v>
      </c>
      <c r="AE269" t="s">
        <v>52</v>
      </c>
      <c r="AF269" t="s">
        <v>148</v>
      </c>
      <c r="AG269" t="s">
        <v>167</v>
      </c>
      <c r="AH269">
        <v>21</v>
      </c>
      <c r="AI269" t="s">
        <v>208</v>
      </c>
      <c r="AJ269" t="s">
        <v>198</v>
      </c>
      <c r="AK269">
        <v>1.81</v>
      </c>
      <c r="AL269">
        <v>2</v>
      </c>
      <c r="AM269">
        <v>0</v>
      </c>
      <c r="AN269" s="1">
        <v>43482</v>
      </c>
      <c r="AO269">
        <v>3</v>
      </c>
      <c r="AP269">
        <v>5</v>
      </c>
    </row>
    <row r="270" spans="1:42">
      <c r="A270" t="s">
        <v>445</v>
      </c>
      <c r="B270" t="str">
        <f t="shared" si="12"/>
        <v>Tyrone</v>
      </c>
      <c r="C270" t="str">
        <f t="shared" si="13"/>
        <v>Steans</v>
      </c>
      <c r="D270">
        <f t="shared" ca="1" si="14"/>
        <v>11</v>
      </c>
      <c r="E270" t="str" cm="1">
        <f t="array" ref="E270">_xlfn.IFS(P270&lt;40000, "Low", P270&lt;70000, "MID", P270&lt;100000, "HIGH", P270&gt;=100000, "Executive")</f>
        <v>MID</v>
      </c>
      <c r="F270" t="str" cm="1">
        <f t="array" ref="F270">_xlfn.IFS(AJ270="Exceeds", "Top Performer", AJ270="Fully Meets", "Solid Performer", AJ270="Needs Improvement", "Underperformer", AJ270="PIP", "At Risk")</f>
        <v>Solid Performer</v>
      </c>
      <c r="G270" t="str" cm="1">
        <f t="array" ref="G270">_xlfn.IFS(AE270="Active", "Retained", AE270="Voluntarily Terminated", "Voluntary Exit", AE270="Terminated for Cause", "Involuntary Exit")</f>
        <v>Retained</v>
      </c>
      <c r="H270">
        <v>10147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3</v>
      </c>
      <c r="O270">
        <v>0</v>
      </c>
      <c r="P270">
        <v>63003</v>
      </c>
      <c r="Q270">
        <v>0</v>
      </c>
      <c r="R270">
        <v>1</v>
      </c>
      <c r="S270" t="s">
        <v>141</v>
      </c>
      <c r="T270" t="s">
        <v>45</v>
      </c>
      <c r="U270">
        <v>2703</v>
      </c>
      <c r="V270" s="1">
        <v>31656</v>
      </c>
      <c r="W270" t="s">
        <v>46</v>
      </c>
      <c r="X270" t="s">
        <v>47</v>
      </c>
      <c r="Y270" t="s">
        <v>48</v>
      </c>
      <c r="Z270" t="s">
        <v>49</v>
      </c>
      <c r="AA270" t="s">
        <v>50</v>
      </c>
      <c r="AB270" s="1">
        <v>41911</v>
      </c>
      <c r="AD270" t="s">
        <v>51</v>
      </c>
      <c r="AE270" t="s">
        <v>52</v>
      </c>
      <c r="AF270" t="s">
        <v>133</v>
      </c>
      <c r="AG270" t="s">
        <v>134</v>
      </c>
      <c r="AH270">
        <v>1</v>
      </c>
      <c r="AI270" t="s">
        <v>64</v>
      </c>
      <c r="AJ270" t="s">
        <v>65</v>
      </c>
      <c r="AK270">
        <v>3.9</v>
      </c>
      <c r="AL270">
        <v>5</v>
      </c>
      <c r="AM270">
        <v>5</v>
      </c>
      <c r="AN270" s="1">
        <v>43483</v>
      </c>
      <c r="AO270">
        <v>0</v>
      </c>
      <c r="AP270">
        <v>9</v>
      </c>
    </row>
    <row r="271" spans="1:42">
      <c r="A271" t="s">
        <v>446</v>
      </c>
      <c r="B271" t="str">
        <f t="shared" si="12"/>
        <v>Rick</v>
      </c>
      <c r="C271" t="str">
        <f t="shared" si="13"/>
        <v>Stoica</v>
      </c>
      <c r="D271">
        <f t="shared" ca="1" si="14"/>
        <v>12</v>
      </c>
      <c r="E271" t="str" cm="1">
        <f t="array" ref="E271">_xlfn.IFS(P271&lt;40000, "Low", P271&lt;70000, "MID", P271&lt;100000, "HIGH", P271&gt;=100000, "Executive")</f>
        <v>MID</v>
      </c>
      <c r="F271" t="str" cm="1">
        <f t="array" ref="F271">_xlfn.IFS(AJ271="Exceeds", "Top Performer", AJ271="Fully Meets", "Solid Performer", AJ271="Needs Improvement", "Underperformer", AJ271="PIP", "At Risk")</f>
        <v>Solid Performer</v>
      </c>
      <c r="G271" t="str" cm="1">
        <f t="array" ref="G271">_xlfn.IFS(AE271="Active", "Retained", AE271="Voluntarily Terminated", "Voluntary Exit", AE271="Terminated for Cause", "Involuntary Exit")</f>
        <v>Retained</v>
      </c>
      <c r="H271">
        <v>10266</v>
      </c>
      <c r="I271">
        <v>1</v>
      </c>
      <c r="J271">
        <v>1</v>
      </c>
      <c r="K271">
        <v>1</v>
      </c>
      <c r="L271">
        <v>1</v>
      </c>
      <c r="M271">
        <v>5</v>
      </c>
      <c r="N271">
        <v>3</v>
      </c>
      <c r="O271">
        <v>0</v>
      </c>
      <c r="P271">
        <v>61355</v>
      </c>
      <c r="Q271">
        <v>0</v>
      </c>
      <c r="R271">
        <v>19</v>
      </c>
      <c r="S271" t="s">
        <v>44</v>
      </c>
      <c r="T271" t="s">
        <v>45</v>
      </c>
      <c r="U271">
        <v>2301</v>
      </c>
      <c r="V271" s="1">
        <v>31120</v>
      </c>
      <c r="W271" t="s">
        <v>46</v>
      </c>
      <c r="X271" t="s">
        <v>59</v>
      </c>
      <c r="Y271" t="s">
        <v>48</v>
      </c>
      <c r="Z271" t="s">
        <v>49</v>
      </c>
      <c r="AA271" t="s">
        <v>119</v>
      </c>
      <c r="AB271" s="1">
        <v>41687</v>
      </c>
      <c r="AD271" t="s">
        <v>51</v>
      </c>
      <c r="AE271" t="s">
        <v>52</v>
      </c>
      <c r="AF271" t="s">
        <v>53</v>
      </c>
      <c r="AG271" t="s">
        <v>106</v>
      </c>
      <c r="AH271">
        <v>18</v>
      </c>
      <c r="AI271" t="s">
        <v>55</v>
      </c>
      <c r="AJ271" t="s">
        <v>65</v>
      </c>
      <c r="AK271">
        <v>4.7</v>
      </c>
      <c r="AL271">
        <v>3</v>
      </c>
      <c r="AM271">
        <v>0</v>
      </c>
      <c r="AN271" s="1">
        <v>43476</v>
      </c>
      <c r="AO271">
        <v>0</v>
      </c>
      <c r="AP271">
        <v>4</v>
      </c>
    </row>
    <row r="272" spans="1:42">
      <c r="A272" t="s">
        <v>447</v>
      </c>
      <c r="B272" t="str">
        <f t="shared" si="12"/>
        <v>Caitrin</v>
      </c>
      <c r="C272" t="str">
        <f t="shared" si="13"/>
        <v>Strong</v>
      </c>
      <c r="D272">
        <f t="shared" ca="1" si="14"/>
        <v>15</v>
      </c>
      <c r="E272" t="str" cm="1">
        <f t="array" ref="E272">_xlfn.IFS(P272&lt;40000, "Low", P272&lt;70000, "MID", P272&lt;100000, "HIGH", P272&gt;=100000, "Executive")</f>
        <v>MID</v>
      </c>
      <c r="F272" t="str" cm="1">
        <f t="array" ref="F272">_xlfn.IFS(AJ272="Exceeds", "Top Performer", AJ272="Fully Meets", "Solid Performer", AJ272="Needs Improvement", "Underperformer", AJ272="PIP", "At Risk")</f>
        <v>Solid Performer</v>
      </c>
      <c r="G272" t="str" cm="1">
        <f t="array" ref="G272">_xlfn.IFS(AE272="Active", "Retained", AE272="Voluntarily Terminated", "Voluntary Exit", AE272="Terminated for Cause", "Involuntary Exit")</f>
        <v>Retained</v>
      </c>
      <c r="H272">
        <v>10241</v>
      </c>
      <c r="I272">
        <v>1</v>
      </c>
      <c r="J272">
        <v>1</v>
      </c>
      <c r="K272">
        <v>0</v>
      </c>
      <c r="L272">
        <v>1</v>
      </c>
      <c r="M272">
        <v>6</v>
      </c>
      <c r="N272">
        <v>3</v>
      </c>
      <c r="O272">
        <v>0</v>
      </c>
      <c r="P272">
        <v>60120</v>
      </c>
      <c r="Q272">
        <v>0</v>
      </c>
      <c r="R272">
        <v>3</v>
      </c>
      <c r="S272" t="s">
        <v>146</v>
      </c>
      <c r="T272" t="s">
        <v>448</v>
      </c>
      <c r="U272">
        <v>59102</v>
      </c>
      <c r="V272" s="1">
        <v>32640</v>
      </c>
      <c r="W272" t="s">
        <v>68</v>
      </c>
      <c r="X272" t="s">
        <v>59</v>
      </c>
      <c r="Y272" t="s">
        <v>48</v>
      </c>
      <c r="Z272" t="s">
        <v>49</v>
      </c>
      <c r="AA272" t="s">
        <v>89</v>
      </c>
      <c r="AB272" s="1">
        <v>40448</v>
      </c>
      <c r="AD272" t="s">
        <v>51</v>
      </c>
      <c r="AE272" t="s">
        <v>52</v>
      </c>
      <c r="AF272" t="s">
        <v>148</v>
      </c>
      <c r="AG272" t="s">
        <v>149</v>
      </c>
      <c r="AH272">
        <v>17</v>
      </c>
      <c r="AI272" t="s">
        <v>64</v>
      </c>
      <c r="AJ272" t="s">
        <v>65</v>
      </c>
      <c r="AK272">
        <v>4.0999999999999996</v>
      </c>
      <c r="AL272">
        <v>4</v>
      </c>
      <c r="AM272">
        <v>0</v>
      </c>
      <c r="AN272" s="1">
        <v>43496</v>
      </c>
      <c r="AO272">
        <v>0</v>
      </c>
      <c r="AP272">
        <v>18</v>
      </c>
    </row>
    <row r="273" spans="1:42">
      <c r="A273" t="s">
        <v>449</v>
      </c>
      <c r="B273" t="str">
        <f t="shared" si="12"/>
        <v>Kissy</v>
      </c>
      <c r="C273" t="str">
        <f t="shared" si="13"/>
        <v>Sullivan</v>
      </c>
      <c r="D273">
        <f t="shared" ca="1" si="14"/>
        <v>17</v>
      </c>
      <c r="E273" t="str" cm="1">
        <f t="array" ref="E273">_xlfn.IFS(P273&lt;40000, "Low", P273&lt;70000, "MID", P273&lt;100000, "HIGH", P273&gt;=100000, "Executive")</f>
        <v>MID</v>
      </c>
      <c r="F273" t="str" cm="1">
        <f t="array" ref="F273">_xlfn.IFS(AJ273="Exceeds", "Top Performer", AJ273="Fully Meets", "Solid Performer", AJ273="Needs Improvement", "Underperformer", AJ273="PIP", "At Risk")</f>
        <v>Solid Performer</v>
      </c>
      <c r="G273" t="str" cm="1">
        <f t="array" ref="G273">_xlfn.IFS(AE273="Active", "Retained", AE273="Voluntarily Terminated", "Voluntary Exit", AE273="Terminated for Cause", "Involuntary Exit")</f>
        <v>Retained</v>
      </c>
      <c r="H273">
        <v>10158</v>
      </c>
      <c r="I273">
        <v>1</v>
      </c>
      <c r="J273">
        <v>1</v>
      </c>
      <c r="K273">
        <v>0</v>
      </c>
      <c r="L273">
        <v>1</v>
      </c>
      <c r="M273">
        <v>5</v>
      </c>
      <c r="N273">
        <v>3</v>
      </c>
      <c r="O273">
        <v>0</v>
      </c>
      <c r="P273">
        <v>63682</v>
      </c>
      <c r="Q273">
        <v>0</v>
      </c>
      <c r="R273">
        <v>18</v>
      </c>
      <c r="S273" t="s">
        <v>136</v>
      </c>
      <c r="T273" t="s">
        <v>45</v>
      </c>
      <c r="U273">
        <v>1776</v>
      </c>
      <c r="V273" s="1">
        <v>28577</v>
      </c>
      <c r="W273" t="s">
        <v>68</v>
      </c>
      <c r="X273" t="s">
        <v>59</v>
      </c>
      <c r="Y273" t="s">
        <v>48</v>
      </c>
      <c r="Z273" t="s">
        <v>49</v>
      </c>
      <c r="AA273" t="s">
        <v>89</v>
      </c>
      <c r="AB273" s="1">
        <v>39821</v>
      </c>
      <c r="AD273" t="s">
        <v>51</v>
      </c>
      <c r="AE273" t="s">
        <v>52</v>
      </c>
      <c r="AF273" t="s">
        <v>53</v>
      </c>
      <c r="AG273" t="s">
        <v>138</v>
      </c>
      <c r="AH273">
        <v>2</v>
      </c>
      <c r="AI273" t="s">
        <v>64</v>
      </c>
      <c r="AJ273" t="s">
        <v>65</v>
      </c>
      <c r="AK273">
        <v>3.73</v>
      </c>
      <c r="AL273">
        <v>4</v>
      </c>
      <c r="AM273">
        <v>0</v>
      </c>
      <c r="AN273" s="1">
        <v>43489</v>
      </c>
      <c r="AO273">
        <v>0</v>
      </c>
      <c r="AP273">
        <v>12</v>
      </c>
    </row>
    <row r="274" spans="1:42">
      <c r="A274" t="s">
        <v>450</v>
      </c>
      <c r="B274" t="str">
        <f t="shared" si="12"/>
        <v>Timothy</v>
      </c>
      <c r="C274" t="str">
        <f t="shared" si="13"/>
        <v>Sullivan</v>
      </c>
      <c r="D274">
        <f t="shared" ca="1" si="14"/>
        <v>11</v>
      </c>
      <c r="E274" t="str" cm="1">
        <f t="array" ref="E274">_xlfn.IFS(P274&lt;40000, "Low", P274&lt;70000, "MID", P274&lt;100000, "HIGH", P274&gt;=100000, "Executive")</f>
        <v>MID</v>
      </c>
      <c r="F274" t="str" cm="1">
        <f t="array" ref="F274">_xlfn.IFS(AJ274="Exceeds", "Top Performer", AJ274="Fully Meets", "Solid Performer", AJ274="Needs Improvement", "Underperformer", AJ274="PIP", "At Risk")</f>
        <v>Solid Performer</v>
      </c>
      <c r="G274" t="str" cm="1">
        <f t="array" ref="G274">_xlfn.IFS(AE274="Active", "Retained", AE274="Voluntarily Terminated", "Voluntary Exit", AE274="Terminated for Cause", "Involuntary Exit")</f>
        <v>Retained</v>
      </c>
      <c r="H274">
        <v>10117</v>
      </c>
      <c r="I274">
        <v>1</v>
      </c>
      <c r="J274">
        <v>1</v>
      </c>
      <c r="K274">
        <v>1</v>
      </c>
      <c r="L274">
        <v>1</v>
      </c>
      <c r="M274">
        <v>5</v>
      </c>
      <c r="N274">
        <v>3</v>
      </c>
      <c r="O274">
        <v>0</v>
      </c>
      <c r="P274">
        <v>63025</v>
      </c>
      <c r="Q274">
        <v>0</v>
      </c>
      <c r="R274">
        <v>19</v>
      </c>
      <c r="S274" t="s">
        <v>44</v>
      </c>
      <c r="T274" t="s">
        <v>45</v>
      </c>
      <c r="U274">
        <v>2747</v>
      </c>
      <c r="V274" s="1">
        <v>30231</v>
      </c>
      <c r="W274" t="s">
        <v>46</v>
      </c>
      <c r="X274" t="s">
        <v>59</v>
      </c>
      <c r="Y274" t="s">
        <v>48</v>
      </c>
      <c r="Z274" t="s">
        <v>96</v>
      </c>
      <c r="AA274" t="s">
        <v>50</v>
      </c>
      <c r="AB274" s="1">
        <v>42009</v>
      </c>
      <c r="AD274" t="s">
        <v>51</v>
      </c>
      <c r="AE274" t="s">
        <v>52</v>
      </c>
      <c r="AF274" t="s">
        <v>53</v>
      </c>
      <c r="AG274" t="s">
        <v>54</v>
      </c>
      <c r="AH274">
        <v>22</v>
      </c>
      <c r="AI274" t="s">
        <v>77</v>
      </c>
      <c r="AJ274" t="s">
        <v>65</v>
      </c>
      <c r="AK274">
        <v>4.3600000000000003</v>
      </c>
      <c r="AL274">
        <v>5</v>
      </c>
      <c r="AM274">
        <v>0</v>
      </c>
      <c r="AN274" s="1">
        <v>43489</v>
      </c>
      <c r="AO274">
        <v>0</v>
      </c>
      <c r="AP274">
        <v>10</v>
      </c>
    </row>
    <row r="275" spans="1:42">
      <c r="A275" t="s">
        <v>451</v>
      </c>
      <c r="B275" t="str">
        <f t="shared" si="12"/>
        <v>Barbara</v>
      </c>
      <c r="C275" t="str">
        <f t="shared" si="13"/>
        <v>Sutwell</v>
      </c>
      <c r="D275">
        <f t="shared" ca="1" si="14"/>
        <v>13</v>
      </c>
      <c r="E275" t="str" cm="1">
        <f t="array" ref="E275">_xlfn.IFS(P275&lt;40000, "Low", P275&lt;70000, "MID", P275&lt;100000, "HIGH", P275&gt;=100000, "Executive")</f>
        <v>MID</v>
      </c>
      <c r="F275" t="str" cm="1">
        <f t="array" ref="F275">_xlfn.IFS(AJ275="Exceeds", "Top Performer", AJ275="Fully Meets", "Solid Performer", AJ275="Needs Improvement", "Underperformer", AJ275="PIP", "At Risk")</f>
        <v>Solid Performer</v>
      </c>
      <c r="G275" t="str" cm="1">
        <f t="array" ref="G275">_xlfn.IFS(AE275="Active", "Retained", AE275="Voluntarily Terminated", "Voluntary Exit", AE275="Terminated for Cause", "Involuntary Exit")</f>
        <v>Retained</v>
      </c>
      <c r="H275">
        <v>10209</v>
      </c>
      <c r="I275">
        <v>0</v>
      </c>
      <c r="J275">
        <v>0</v>
      </c>
      <c r="K275">
        <v>0</v>
      </c>
      <c r="L275">
        <v>1</v>
      </c>
      <c r="M275">
        <v>5</v>
      </c>
      <c r="N275">
        <v>3</v>
      </c>
      <c r="O275">
        <v>0</v>
      </c>
      <c r="P275">
        <v>59238</v>
      </c>
      <c r="Q275">
        <v>0</v>
      </c>
      <c r="R275">
        <v>19</v>
      </c>
      <c r="S275" t="s">
        <v>44</v>
      </c>
      <c r="T275" t="s">
        <v>45</v>
      </c>
      <c r="U275">
        <v>2718</v>
      </c>
      <c r="V275" s="1">
        <v>25065</v>
      </c>
      <c r="W275" t="s">
        <v>68</v>
      </c>
      <c r="X275" t="s">
        <v>47</v>
      </c>
      <c r="Y275" t="s">
        <v>114</v>
      </c>
      <c r="Z275" t="s">
        <v>49</v>
      </c>
      <c r="AA275" t="s">
        <v>119</v>
      </c>
      <c r="AB275" s="1">
        <v>41043</v>
      </c>
      <c r="AD275" t="s">
        <v>51</v>
      </c>
      <c r="AE275" t="s">
        <v>52</v>
      </c>
      <c r="AF275" t="s">
        <v>53</v>
      </c>
      <c r="AG275" t="s">
        <v>72</v>
      </c>
      <c r="AH275">
        <v>16</v>
      </c>
      <c r="AI275" t="s">
        <v>64</v>
      </c>
      <c r="AJ275" t="s">
        <v>65</v>
      </c>
      <c r="AK275">
        <v>3.4</v>
      </c>
      <c r="AL275">
        <v>5</v>
      </c>
      <c r="AM275">
        <v>0</v>
      </c>
      <c r="AN275" s="1">
        <v>43496</v>
      </c>
      <c r="AO275">
        <v>0</v>
      </c>
      <c r="AP275">
        <v>13</v>
      </c>
    </row>
    <row r="276" spans="1:42">
      <c r="A276" t="s">
        <v>452</v>
      </c>
      <c r="B276" t="str">
        <f t="shared" si="12"/>
        <v>Andrew</v>
      </c>
      <c r="C276" t="str">
        <f t="shared" si="13"/>
        <v>Szabo</v>
      </c>
      <c r="D276">
        <f t="shared" ca="1" si="14"/>
        <v>11</v>
      </c>
      <c r="E276" t="str" cm="1">
        <f t="array" ref="E276">_xlfn.IFS(P276&lt;40000, "Low", P276&lt;70000, "MID", P276&lt;100000, "HIGH", P276&gt;=100000, "Executive")</f>
        <v>HIGH</v>
      </c>
      <c r="F276" t="str" cm="1">
        <f t="array" ref="F276">_xlfn.IFS(AJ276="Exceeds", "Top Performer", AJ276="Fully Meets", "Solid Performer", AJ276="Needs Improvement", "Underperformer", AJ276="PIP", "At Risk")</f>
        <v>Top Performer</v>
      </c>
      <c r="G276" t="str" cm="1">
        <f t="array" ref="G276">_xlfn.IFS(AE276="Active", "Retained", AE276="Voluntarily Terminated", "Voluntary Exit", AE276="Terminated for Cause", "Involuntary Exit")</f>
        <v>Retained</v>
      </c>
      <c r="H276">
        <v>10024</v>
      </c>
      <c r="I276">
        <v>0</v>
      </c>
      <c r="J276">
        <v>0</v>
      </c>
      <c r="K276">
        <v>1</v>
      </c>
      <c r="L276">
        <v>1</v>
      </c>
      <c r="M276">
        <v>4</v>
      </c>
      <c r="N276">
        <v>4</v>
      </c>
      <c r="O276">
        <v>0</v>
      </c>
      <c r="P276">
        <v>92989</v>
      </c>
      <c r="Q276">
        <v>0</v>
      </c>
      <c r="R276">
        <v>24</v>
      </c>
      <c r="S276" t="s">
        <v>81</v>
      </c>
      <c r="T276" t="s">
        <v>45</v>
      </c>
      <c r="U276">
        <v>2140</v>
      </c>
      <c r="V276" s="1">
        <v>30442</v>
      </c>
      <c r="W276" t="s">
        <v>46</v>
      </c>
      <c r="X276" t="s">
        <v>47</v>
      </c>
      <c r="Y276" t="s">
        <v>48</v>
      </c>
      <c r="Z276" t="s">
        <v>49</v>
      </c>
      <c r="AA276" t="s">
        <v>50</v>
      </c>
      <c r="AB276" s="1">
        <v>41827</v>
      </c>
      <c r="AD276" t="s">
        <v>51</v>
      </c>
      <c r="AE276" t="s">
        <v>52</v>
      </c>
      <c r="AF276" t="s">
        <v>82</v>
      </c>
      <c r="AG276" t="s">
        <v>83</v>
      </c>
      <c r="AH276">
        <v>10</v>
      </c>
      <c r="AI276" t="s">
        <v>55</v>
      </c>
      <c r="AJ276" t="s">
        <v>56</v>
      </c>
      <c r="AK276">
        <v>4.5</v>
      </c>
      <c r="AL276">
        <v>5</v>
      </c>
      <c r="AM276">
        <v>5</v>
      </c>
      <c r="AN276" s="1">
        <v>43514</v>
      </c>
      <c r="AO276">
        <v>0</v>
      </c>
      <c r="AP276">
        <v>1</v>
      </c>
    </row>
    <row r="277" spans="1:42">
      <c r="A277" t="s">
        <v>453</v>
      </c>
      <c r="B277" t="str">
        <f t="shared" si="12"/>
        <v>Biff</v>
      </c>
      <c r="C277" t="str">
        <f t="shared" si="13"/>
        <v>Tannen</v>
      </c>
      <c r="D277">
        <f t="shared" ca="1" si="14"/>
        <v>8</v>
      </c>
      <c r="E277" t="str" cm="1">
        <f t="array" ref="E277">_xlfn.IFS(P277&lt;40000, "Low", P277&lt;70000, "MID", P277&lt;100000, "HIGH", P277&gt;=100000, "Executive")</f>
        <v>HIGH</v>
      </c>
      <c r="F277" t="str" cm="1">
        <f t="array" ref="F277">_xlfn.IFS(AJ277="Exceeds", "Top Performer", AJ277="Fully Meets", "Solid Performer", AJ277="Needs Improvement", "Underperformer", AJ277="PIP", "At Risk")</f>
        <v>Solid Performer</v>
      </c>
      <c r="G277" t="str" cm="1">
        <f t="array" ref="G277">_xlfn.IFS(AE277="Active", "Retained", AE277="Voluntarily Terminated", "Voluntary Exit", AE277="Terminated for Cause", "Involuntary Exit")</f>
        <v>Retained</v>
      </c>
      <c r="H277">
        <v>10173</v>
      </c>
      <c r="I277">
        <v>1</v>
      </c>
      <c r="J277">
        <v>1</v>
      </c>
      <c r="K277">
        <v>1</v>
      </c>
      <c r="L277">
        <v>1</v>
      </c>
      <c r="M277">
        <v>3</v>
      </c>
      <c r="N277">
        <v>3</v>
      </c>
      <c r="O277">
        <v>0</v>
      </c>
      <c r="P277">
        <v>90100</v>
      </c>
      <c r="Q277">
        <v>0</v>
      </c>
      <c r="R277">
        <v>4</v>
      </c>
      <c r="S277" t="s">
        <v>203</v>
      </c>
      <c r="T277" t="s">
        <v>45</v>
      </c>
      <c r="U277">
        <v>2134</v>
      </c>
      <c r="V277" s="1">
        <v>32074</v>
      </c>
      <c r="W277" t="s">
        <v>46</v>
      </c>
      <c r="X277" t="s">
        <v>59</v>
      </c>
      <c r="Y277" t="s">
        <v>48</v>
      </c>
      <c r="Z277" t="s">
        <v>49</v>
      </c>
      <c r="AA277" t="s">
        <v>50</v>
      </c>
      <c r="AB277" s="1">
        <v>42845</v>
      </c>
      <c r="AD277" t="s">
        <v>51</v>
      </c>
      <c r="AE277" t="s">
        <v>52</v>
      </c>
      <c r="AF277" t="s">
        <v>62</v>
      </c>
      <c r="AG277" t="s">
        <v>204</v>
      </c>
      <c r="AH277">
        <v>13</v>
      </c>
      <c r="AI277" t="s">
        <v>64</v>
      </c>
      <c r="AJ277" t="s">
        <v>65</v>
      </c>
      <c r="AK277">
        <v>3.4</v>
      </c>
      <c r="AL277">
        <v>3</v>
      </c>
      <c r="AM277">
        <v>6</v>
      </c>
      <c r="AN277" s="1">
        <v>43467</v>
      </c>
      <c r="AO277">
        <v>0</v>
      </c>
      <c r="AP277">
        <v>14</v>
      </c>
    </row>
    <row r="278" spans="1:42">
      <c r="A278" t="s">
        <v>454</v>
      </c>
      <c r="B278" t="str">
        <f t="shared" si="12"/>
        <v>Desiree</v>
      </c>
      <c r="C278" t="str">
        <f t="shared" si="13"/>
        <v>Tavares</v>
      </c>
      <c r="D278">
        <f t="shared" ca="1" si="14"/>
        <v>3</v>
      </c>
      <c r="E278" t="str" cm="1">
        <f t="array" ref="E278">_xlfn.IFS(P278&lt;40000, "Low", P278&lt;70000, "MID", P278&lt;100000, "HIGH", P278&gt;=100000, "Executive")</f>
        <v>MID</v>
      </c>
      <c r="F278" t="str" cm="1">
        <f t="array" ref="F278">_xlfn.IFS(AJ278="Exceeds", "Top Performer", AJ278="Fully Meets", "Solid Performer", AJ278="Needs Improvement", "Underperformer", AJ278="PIP", "At Risk")</f>
        <v>Solid Performer</v>
      </c>
      <c r="G278" t="str" cm="1">
        <f t="array" ref="G278">_xlfn.IFS(AE278="Active", "Retained", AE278="Voluntarily Terminated", "Voluntary Exit", AE278="Terminated for Cause", "Involuntary Exit")</f>
        <v>Voluntary Exit</v>
      </c>
      <c r="H278">
        <v>10221</v>
      </c>
      <c r="I278">
        <v>1</v>
      </c>
      <c r="J278">
        <v>1</v>
      </c>
      <c r="K278">
        <v>0</v>
      </c>
      <c r="L278">
        <v>5</v>
      </c>
      <c r="M278">
        <v>5</v>
      </c>
      <c r="N278">
        <v>3</v>
      </c>
      <c r="O278">
        <v>1</v>
      </c>
      <c r="P278">
        <v>60754</v>
      </c>
      <c r="Q278">
        <v>1</v>
      </c>
      <c r="R278">
        <v>19</v>
      </c>
      <c r="S278" t="s">
        <v>44</v>
      </c>
      <c r="T278" t="s">
        <v>45</v>
      </c>
      <c r="U278">
        <v>1801</v>
      </c>
      <c r="V278" s="1">
        <v>27487</v>
      </c>
      <c r="W278" t="s">
        <v>68</v>
      </c>
      <c r="X278" t="s">
        <v>59</v>
      </c>
      <c r="Y278" t="s">
        <v>171</v>
      </c>
      <c r="Z278" t="s">
        <v>49</v>
      </c>
      <c r="AA278" t="s">
        <v>89</v>
      </c>
      <c r="AB278" s="1">
        <v>39930</v>
      </c>
      <c r="AC278" s="1">
        <v>41365</v>
      </c>
      <c r="AD278" t="s">
        <v>97</v>
      </c>
      <c r="AE278" t="s">
        <v>61</v>
      </c>
      <c r="AF278" t="s">
        <v>53</v>
      </c>
      <c r="AG278" t="s">
        <v>76</v>
      </c>
      <c r="AH278">
        <v>39</v>
      </c>
      <c r="AI278" t="s">
        <v>91</v>
      </c>
      <c r="AJ278" t="s">
        <v>65</v>
      </c>
      <c r="AK278">
        <v>4.5</v>
      </c>
      <c r="AL278">
        <v>5</v>
      </c>
      <c r="AM278">
        <v>0</v>
      </c>
      <c r="AN278" s="1">
        <v>40954</v>
      </c>
      <c r="AO278">
        <v>0</v>
      </c>
      <c r="AP278">
        <v>11</v>
      </c>
    </row>
    <row r="279" spans="1:42">
      <c r="A279" t="s">
        <v>455</v>
      </c>
      <c r="B279" t="str">
        <f t="shared" si="12"/>
        <v>Lenora</v>
      </c>
      <c r="C279" t="str">
        <f t="shared" si="13"/>
        <v>Tejeda</v>
      </c>
      <c r="D279">
        <f t="shared" ca="1" si="14"/>
        <v>6</v>
      </c>
      <c r="E279" t="str" cm="1">
        <f t="array" ref="E279">_xlfn.IFS(P279&lt;40000, "Low", P279&lt;70000, "MID", P279&lt;100000, "HIGH", P279&gt;=100000, "Executive")</f>
        <v>HIGH</v>
      </c>
      <c r="F279" t="str" cm="1">
        <f t="array" ref="F279">_xlfn.IFS(AJ279="Exceeds", "Top Performer", AJ279="Fully Meets", "Solid Performer", AJ279="Needs Improvement", "Underperformer", AJ279="PIP", "At Risk")</f>
        <v>Solid Performer</v>
      </c>
      <c r="G279" t="str" cm="1">
        <f t="array" ref="G279">_xlfn.IFS(AE279="Active", "Retained", AE279="Voluntarily Terminated", "Voluntary Exit", AE279="Terminated for Cause", "Involuntary Exit")</f>
        <v>Voluntary Exit</v>
      </c>
      <c r="H279">
        <v>10146</v>
      </c>
      <c r="I279">
        <v>1</v>
      </c>
      <c r="J279">
        <v>1</v>
      </c>
      <c r="K279">
        <v>0</v>
      </c>
      <c r="L279">
        <v>5</v>
      </c>
      <c r="M279">
        <v>5</v>
      </c>
      <c r="N279">
        <v>3</v>
      </c>
      <c r="O279">
        <v>0</v>
      </c>
      <c r="P279">
        <v>72202</v>
      </c>
      <c r="Q279">
        <v>1</v>
      </c>
      <c r="R279">
        <v>20</v>
      </c>
      <c r="S279" t="s">
        <v>67</v>
      </c>
      <c r="T279" t="s">
        <v>45</v>
      </c>
      <c r="U279">
        <v>2129</v>
      </c>
      <c r="V279" s="1">
        <v>19503</v>
      </c>
      <c r="W279" t="s">
        <v>68</v>
      </c>
      <c r="X279" t="s">
        <v>59</v>
      </c>
      <c r="Y279" t="s">
        <v>48</v>
      </c>
      <c r="Z279" t="s">
        <v>49</v>
      </c>
      <c r="AA279" t="s">
        <v>50</v>
      </c>
      <c r="AB279" s="1">
        <v>40679</v>
      </c>
      <c r="AC279" s="1">
        <v>42924</v>
      </c>
      <c r="AD279" t="s">
        <v>97</v>
      </c>
      <c r="AE279" t="s">
        <v>61</v>
      </c>
      <c r="AF279" t="s">
        <v>53</v>
      </c>
      <c r="AG279" t="s">
        <v>72</v>
      </c>
      <c r="AH279">
        <v>16</v>
      </c>
      <c r="AI279" t="s">
        <v>77</v>
      </c>
      <c r="AJ279" t="s">
        <v>65</v>
      </c>
      <c r="AK279">
        <v>3.93</v>
      </c>
      <c r="AL279">
        <v>3</v>
      </c>
      <c r="AM279">
        <v>0</v>
      </c>
      <c r="AN279" s="1">
        <v>42843</v>
      </c>
      <c r="AO279">
        <v>0</v>
      </c>
      <c r="AP279">
        <v>3</v>
      </c>
    </row>
    <row r="280" spans="1:42">
      <c r="A280" t="s">
        <v>456</v>
      </c>
      <c r="B280" t="str">
        <f t="shared" si="12"/>
        <v>Sharlene</v>
      </c>
      <c r="C280" t="str">
        <f t="shared" si="13"/>
        <v>Terry</v>
      </c>
      <c r="D280">
        <f t="shared" ca="1" si="14"/>
        <v>11</v>
      </c>
      <c r="E280" t="str" cm="1">
        <f t="array" ref="E280">_xlfn.IFS(P280&lt;40000, "Low", P280&lt;70000, "MID", P280&lt;100000, "HIGH", P280&gt;=100000, "Executive")</f>
        <v>MID</v>
      </c>
      <c r="F280" t="str" cm="1">
        <f t="array" ref="F280">_xlfn.IFS(AJ280="Exceeds", "Top Performer", AJ280="Fully Meets", "Solid Performer", AJ280="Needs Improvement", "Underperformer", AJ280="PIP", "At Risk")</f>
        <v>Solid Performer</v>
      </c>
      <c r="G280" t="str" cm="1">
        <f t="array" ref="G280">_xlfn.IFS(AE280="Active", "Retained", AE280="Voluntarily Terminated", "Voluntary Exit", AE280="Terminated for Cause", "Involuntary Exit")</f>
        <v>Retained</v>
      </c>
      <c r="H280">
        <v>10161</v>
      </c>
      <c r="I280">
        <v>0</v>
      </c>
      <c r="J280">
        <v>0</v>
      </c>
      <c r="K280">
        <v>0</v>
      </c>
      <c r="L280">
        <v>1</v>
      </c>
      <c r="M280">
        <v>6</v>
      </c>
      <c r="N280">
        <v>3</v>
      </c>
      <c r="O280">
        <v>0</v>
      </c>
      <c r="P280">
        <v>58370</v>
      </c>
      <c r="Q280">
        <v>0</v>
      </c>
      <c r="R280">
        <v>3</v>
      </c>
      <c r="S280" t="s">
        <v>146</v>
      </c>
      <c r="T280" t="s">
        <v>457</v>
      </c>
      <c r="U280">
        <v>97756</v>
      </c>
      <c r="V280" s="1">
        <v>23869</v>
      </c>
      <c r="W280" t="s">
        <v>68</v>
      </c>
      <c r="X280" t="s">
        <v>47</v>
      </c>
      <c r="Y280" t="s">
        <v>48</v>
      </c>
      <c r="Z280" t="s">
        <v>49</v>
      </c>
      <c r="AA280" t="s">
        <v>89</v>
      </c>
      <c r="AB280" s="1">
        <v>41911</v>
      </c>
      <c r="AD280" t="s">
        <v>51</v>
      </c>
      <c r="AE280" t="s">
        <v>52</v>
      </c>
      <c r="AF280" t="s">
        <v>148</v>
      </c>
      <c r="AG280" t="s">
        <v>167</v>
      </c>
      <c r="AH280">
        <v>21</v>
      </c>
      <c r="AI280" t="s">
        <v>64</v>
      </c>
      <c r="AJ280" t="s">
        <v>65</v>
      </c>
      <c r="AK280">
        <v>3.69</v>
      </c>
      <c r="AL280">
        <v>3</v>
      </c>
      <c r="AM280">
        <v>0</v>
      </c>
      <c r="AN280" s="1">
        <v>43493</v>
      </c>
      <c r="AO280">
        <v>0</v>
      </c>
      <c r="AP280">
        <v>18</v>
      </c>
    </row>
    <row r="281" spans="1:42">
      <c r="A281" t="s">
        <v>458</v>
      </c>
      <c r="B281" t="str">
        <f t="shared" si="12"/>
        <v>Sophia</v>
      </c>
      <c r="C281" t="str">
        <f t="shared" si="13"/>
        <v>Theamstern</v>
      </c>
      <c r="D281">
        <f t="shared" ca="1" si="14"/>
        <v>5</v>
      </c>
      <c r="E281" t="str" cm="1">
        <f t="array" ref="E281">_xlfn.IFS(P281&lt;40000, "Low", P281&lt;70000, "MID", P281&lt;100000, "HIGH", P281&gt;=100000, "Executive")</f>
        <v>MID</v>
      </c>
      <c r="F281" t="str" cm="1">
        <f t="array" ref="F281">_xlfn.IFS(AJ281="Exceeds", "Top Performer", AJ281="Fully Meets", "Solid Performer", AJ281="Needs Improvement", "Underperformer", AJ281="PIP", "At Risk")</f>
        <v>Solid Performer</v>
      </c>
      <c r="G281" t="str" cm="1">
        <f t="array" ref="G281">_xlfn.IFS(AE281="Active", "Retained", AE281="Voluntarily Terminated", "Voluntary Exit", AE281="Terminated for Cause", "Involuntary Exit")</f>
        <v>Voluntary Exit</v>
      </c>
      <c r="H281">
        <v>10141</v>
      </c>
      <c r="I281">
        <v>0</v>
      </c>
      <c r="J281">
        <v>0</v>
      </c>
      <c r="K281">
        <v>0</v>
      </c>
      <c r="L281">
        <v>5</v>
      </c>
      <c r="M281">
        <v>5</v>
      </c>
      <c r="N281">
        <v>3</v>
      </c>
      <c r="O281">
        <v>0</v>
      </c>
      <c r="P281">
        <v>48413</v>
      </c>
      <c r="Q281">
        <v>1</v>
      </c>
      <c r="R281">
        <v>19</v>
      </c>
      <c r="S281" t="s">
        <v>44</v>
      </c>
      <c r="T281" t="s">
        <v>45</v>
      </c>
      <c r="U281">
        <v>2066</v>
      </c>
      <c r="V281" s="1">
        <v>23871</v>
      </c>
      <c r="W281" t="s">
        <v>68</v>
      </c>
      <c r="X281" t="s">
        <v>47</v>
      </c>
      <c r="Y281" t="s">
        <v>48</v>
      </c>
      <c r="Z281" t="s">
        <v>49</v>
      </c>
      <c r="AA281" t="s">
        <v>50</v>
      </c>
      <c r="AB281" s="1">
        <v>40729</v>
      </c>
      <c r="AC281" s="1">
        <v>42618</v>
      </c>
      <c r="AD281" t="s">
        <v>75</v>
      </c>
      <c r="AE281" t="s">
        <v>61</v>
      </c>
      <c r="AF281" t="s">
        <v>53</v>
      </c>
      <c r="AG281" t="s">
        <v>79</v>
      </c>
      <c r="AH281">
        <v>11</v>
      </c>
      <c r="AI281" t="s">
        <v>64</v>
      </c>
      <c r="AJ281" t="s">
        <v>65</v>
      </c>
      <c r="AK281">
        <v>3.98</v>
      </c>
      <c r="AL281">
        <v>4</v>
      </c>
      <c r="AM281">
        <v>0</v>
      </c>
      <c r="AN281" s="1">
        <v>42431</v>
      </c>
      <c r="AO281">
        <v>0</v>
      </c>
      <c r="AP281">
        <v>1</v>
      </c>
    </row>
    <row r="282" spans="1:42">
      <c r="A282" t="s">
        <v>459</v>
      </c>
      <c r="B282" t="str">
        <f t="shared" si="12"/>
        <v>Kenneth</v>
      </c>
      <c r="C282" t="str">
        <f t="shared" si="13"/>
        <v>Thibaud</v>
      </c>
      <c r="D282">
        <f t="shared" ca="1" si="14"/>
        <v>3</v>
      </c>
      <c r="E282" t="str" cm="1">
        <f t="array" ref="E282">_xlfn.IFS(P282&lt;40000, "Low", P282&lt;70000, "MID", P282&lt;100000, "HIGH", P282&gt;=100000, "Executive")</f>
        <v>MID</v>
      </c>
      <c r="F282" t="str" cm="1">
        <f t="array" ref="F282">_xlfn.IFS(AJ282="Exceeds", "Top Performer", AJ282="Fully Meets", "Solid Performer", AJ282="Needs Improvement", "Underperformer", AJ282="PIP", "At Risk")</f>
        <v>Solid Performer</v>
      </c>
      <c r="G282" t="str" cm="1">
        <f t="array" ref="G282">_xlfn.IFS(AE282="Active", "Retained", AE282="Voluntarily Terminated", "Voluntary Exit", AE282="Terminated for Cause", "Involuntary Exit")</f>
        <v>Voluntary Exit</v>
      </c>
      <c r="H282">
        <v>10268</v>
      </c>
      <c r="I282">
        <v>0</v>
      </c>
      <c r="J282">
        <v>4</v>
      </c>
      <c r="K282">
        <v>1</v>
      </c>
      <c r="L282">
        <v>5</v>
      </c>
      <c r="M282">
        <v>5</v>
      </c>
      <c r="N282">
        <v>3</v>
      </c>
      <c r="O282">
        <v>0</v>
      </c>
      <c r="P282">
        <v>67176</v>
      </c>
      <c r="Q282">
        <v>1</v>
      </c>
      <c r="R282">
        <v>20</v>
      </c>
      <c r="S282" t="s">
        <v>67</v>
      </c>
      <c r="T282" t="s">
        <v>45</v>
      </c>
      <c r="U282">
        <v>2472</v>
      </c>
      <c r="V282" s="1">
        <v>27653</v>
      </c>
      <c r="W282" t="s">
        <v>46</v>
      </c>
      <c r="X282" t="s">
        <v>85</v>
      </c>
      <c r="Y282" t="s">
        <v>48</v>
      </c>
      <c r="Z282" t="s">
        <v>49</v>
      </c>
      <c r="AA282" t="s">
        <v>50</v>
      </c>
      <c r="AB282" s="1">
        <v>39258</v>
      </c>
      <c r="AC282" s="1">
        <v>40420</v>
      </c>
      <c r="AD282" t="s">
        <v>219</v>
      </c>
      <c r="AE282" t="s">
        <v>61</v>
      </c>
      <c r="AF282" t="s">
        <v>53</v>
      </c>
      <c r="AG282" t="s">
        <v>76</v>
      </c>
      <c r="AH282">
        <v>39</v>
      </c>
      <c r="AI282" t="s">
        <v>243</v>
      </c>
      <c r="AJ282" t="s">
        <v>65</v>
      </c>
      <c r="AK282">
        <v>4.0999999999999996</v>
      </c>
      <c r="AL282">
        <v>4</v>
      </c>
      <c r="AM282">
        <v>0</v>
      </c>
      <c r="AN282" s="1">
        <v>40373</v>
      </c>
      <c r="AO282">
        <v>0</v>
      </c>
      <c r="AP282">
        <v>15</v>
      </c>
    </row>
    <row r="283" spans="1:42">
      <c r="A283" t="s">
        <v>460</v>
      </c>
      <c r="B283" t="str">
        <f t="shared" si="12"/>
        <v>Jeanette</v>
      </c>
      <c r="C283" t="str">
        <f t="shared" si="13"/>
        <v>Tippett</v>
      </c>
      <c r="D283">
        <f t="shared" ca="1" si="14"/>
        <v>13</v>
      </c>
      <c r="E283" t="str" cm="1">
        <f t="array" ref="E283">_xlfn.IFS(P283&lt;40000, "Low", P283&lt;70000, "MID", P283&lt;100000, "HIGH", P283&gt;=100000, "Executive")</f>
        <v>MID</v>
      </c>
      <c r="F283" t="str" cm="1">
        <f t="array" ref="F283">_xlfn.IFS(AJ283="Exceeds", "Top Performer", AJ283="Fully Meets", "Solid Performer", AJ283="Needs Improvement", "Underperformer", AJ283="PIP", "At Risk")</f>
        <v>Solid Performer</v>
      </c>
      <c r="G283" t="str" cm="1">
        <f t="array" ref="G283">_xlfn.IFS(AE283="Active", "Retained", AE283="Voluntarily Terminated", "Voluntary Exit", AE283="Terminated for Cause", "Involuntary Exit")</f>
        <v>Retained</v>
      </c>
      <c r="H283">
        <v>10123</v>
      </c>
      <c r="I283">
        <v>0</v>
      </c>
      <c r="J283">
        <v>2</v>
      </c>
      <c r="K283">
        <v>0</v>
      </c>
      <c r="L283">
        <v>1</v>
      </c>
      <c r="M283">
        <v>5</v>
      </c>
      <c r="N283">
        <v>3</v>
      </c>
      <c r="O283">
        <v>0</v>
      </c>
      <c r="P283">
        <v>56339</v>
      </c>
      <c r="Q283">
        <v>0</v>
      </c>
      <c r="R283">
        <v>19</v>
      </c>
      <c r="S283" t="s">
        <v>44</v>
      </c>
      <c r="T283" t="s">
        <v>45</v>
      </c>
      <c r="U283">
        <v>2093</v>
      </c>
      <c r="V283" s="1">
        <v>24628</v>
      </c>
      <c r="W283" t="s">
        <v>68</v>
      </c>
      <c r="X283" t="s">
        <v>74</v>
      </c>
      <c r="Y283" t="s">
        <v>48</v>
      </c>
      <c r="Z283" t="s">
        <v>49</v>
      </c>
      <c r="AA283" t="s">
        <v>89</v>
      </c>
      <c r="AB283" s="1">
        <v>41323</v>
      </c>
      <c r="AD283" t="s">
        <v>51</v>
      </c>
      <c r="AE283" t="s">
        <v>52</v>
      </c>
      <c r="AF283" t="s">
        <v>53</v>
      </c>
      <c r="AG283" t="s">
        <v>90</v>
      </c>
      <c r="AH283">
        <v>12</v>
      </c>
      <c r="AI283" t="s">
        <v>64</v>
      </c>
      <c r="AJ283" t="s">
        <v>65</v>
      </c>
      <c r="AK283">
        <v>4.21</v>
      </c>
      <c r="AL283">
        <v>5</v>
      </c>
      <c r="AM283">
        <v>0</v>
      </c>
      <c r="AN283" s="1">
        <v>43479</v>
      </c>
      <c r="AO283">
        <v>0</v>
      </c>
      <c r="AP283">
        <v>4</v>
      </c>
    </row>
    <row r="284" spans="1:42">
      <c r="A284" t="s">
        <v>461</v>
      </c>
      <c r="B284" t="str">
        <f t="shared" si="12"/>
        <v>Jack</v>
      </c>
      <c r="C284" t="str">
        <f t="shared" si="13"/>
        <v>Torrence</v>
      </c>
      <c r="D284">
        <f t="shared" ca="1" si="14"/>
        <v>20</v>
      </c>
      <c r="E284" t="str" cm="1">
        <f t="array" ref="E284">_xlfn.IFS(P284&lt;40000, "Low", P284&lt;70000, "MID", P284&lt;100000, "HIGH", P284&gt;=100000, "Executive")</f>
        <v>MID</v>
      </c>
      <c r="F284" t="str" cm="1">
        <f t="array" ref="F284">_xlfn.IFS(AJ284="Exceeds", "Top Performer", AJ284="Fully Meets", "Solid Performer", AJ284="Needs Improvement", "Underperformer", AJ284="PIP", "At Risk")</f>
        <v>Top Performer</v>
      </c>
      <c r="G284" t="str" cm="1">
        <f t="array" ref="G284">_xlfn.IFS(AE284="Active", "Retained", AE284="Voluntarily Terminated", "Voluntary Exit", AE284="Terminated for Cause", "Involuntary Exit")</f>
        <v>Retained</v>
      </c>
      <c r="H284">
        <v>10013</v>
      </c>
      <c r="I284">
        <v>0</v>
      </c>
      <c r="J284">
        <v>3</v>
      </c>
      <c r="K284">
        <v>1</v>
      </c>
      <c r="L284">
        <v>1</v>
      </c>
      <c r="M284">
        <v>6</v>
      </c>
      <c r="N284">
        <v>4</v>
      </c>
      <c r="O284">
        <v>0</v>
      </c>
      <c r="P284">
        <v>64397</v>
      </c>
      <c r="Q284">
        <v>0</v>
      </c>
      <c r="R284">
        <v>3</v>
      </c>
      <c r="S284" t="s">
        <v>146</v>
      </c>
      <c r="T284" t="s">
        <v>462</v>
      </c>
      <c r="U284">
        <v>58782</v>
      </c>
      <c r="V284" s="1">
        <v>24852</v>
      </c>
      <c r="W284" t="s">
        <v>46</v>
      </c>
      <c r="X284" t="s">
        <v>144</v>
      </c>
      <c r="Y284" t="s">
        <v>48</v>
      </c>
      <c r="Z284" t="s">
        <v>49</v>
      </c>
      <c r="AA284" t="s">
        <v>50</v>
      </c>
      <c r="AB284" s="1">
        <v>38726</v>
      </c>
      <c r="AD284" t="s">
        <v>51</v>
      </c>
      <c r="AE284" t="s">
        <v>52</v>
      </c>
      <c r="AF284" t="s">
        <v>148</v>
      </c>
      <c r="AG284" t="s">
        <v>167</v>
      </c>
      <c r="AH284">
        <v>21</v>
      </c>
      <c r="AI284" t="s">
        <v>64</v>
      </c>
      <c r="AJ284" t="s">
        <v>56</v>
      </c>
      <c r="AK284">
        <v>4.0999999999999996</v>
      </c>
      <c r="AL284">
        <v>3</v>
      </c>
      <c r="AM284">
        <v>0</v>
      </c>
      <c r="AN284" s="1">
        <v>43469</v>
      </c>
      <c r="AO284">
        <v>0</v>
      </c>
      <c r="AP284">
        <v>6</v>
      </c>
    </row>
    <row r="285" spans="1:42">
      <c r="A285" t="s">
        <v>463</v>
      </c>
      <c r="B285" t="str">
        <f t="shared" si="12"/>
        <v>Mei</v>
      </c>
      <c r="C285" t="str">
        <f t="shared" si="13"/>
        <v>Trang</v>
      </c>
      <c r="D285">
        <f t="shared" ca="1" si="14"/>
        <v>12</v>
      </c>
      <c r="E285" t="str" cm="1">
        <f t="array" ref="E285">_xlfn.IFS(P285&lt;40000, "Low", P285&lt;70000, "MID", P285&lt;100000, "HIGH", P285&gt;=100000, "Executive")</f>
        <v>MID</v>
      </c>
      <c r="F285" t="str" cm="1">
        <f t="array" ref="F285">_xlfn.IFS(AJ285="Exceeds", "Top Performer", AJ285="Fully Meets", "Solid Performer", AJ285="Needs Improvement", "Underperformer", AJ285="PIP", "At Risk")</f>
        <v>Underperformer</v>
      </c>
      <c r="G285" t="str" cm="1">
        <f t="array" ref="G285">_xlfn.IFS(AE285="Active", "Retained", AE285="Voluntarily Terminated", "Voluntary Exit", AE285="Terminated for Cause", "Involuntary Exit")</f>
        <v>Retained</v>
      </c>
      <c r="H285">
        <v>10287</v>
      </c>
      <c r="I285">
        <v>0</v>
      </c>
      <c r="J285">
        <v>0</v>
      </c>
      <c r="K285">
        <v>0</v>
      </c>
      <c r="L285">
        <v>1</v>
      </c>
      <c r="M285">
        <v>5</v>
      </c>
      <c r="N285">
        <v>2</v>
      </c>
      <c r="O285">
        <v>0</v>
      </c>
      <c r="P285">
        <v>63025</v>
      </c>
      <c r="Q285">
        <v>0</v>
      </c>
      <c r="R285">
        <v>19</v>
      </c>
      <c r="S285" t="s">
        <v>44</v>
      </c>
      <c r="T285" t="s">
        <v>45</v>
      </c>
      <c r="U285">
        <v>2021</v>
      </c>
      <c r="V285" s="1">
        <v>30452</v>
      </c>
      <c r="W285" t="s">
        <v>68</v>
      </c>
      <c r="X285" t="s">
        <v>47</v>
      </c>
      <c r="Y285" t="s">
        <v>48</v>
      </c>
      <c r="Z285" t="s">
        <v>49</v>
      </c>
      <c r="AA285" t="s">
        <v>50</v>
      </c>
      <c r="AB285" s="1">
        <v>41687</v>
      </c>
      <c r="AD285" t="s">
        <v>51</v>
      </c>
      <c r="AE285" t="s">
        <v>52</v>
      </c>
      <c r="AF285" t="s">
        <v>53</v>
      </c>
      <c r="AG285" t="s">
        <v>98</v>
      </c>
      <c r="AH285">
        <v>14</v>
      </c>
      <c r="AI285" t="s">
        <v>55</v>
      </c>
      <c r="AJ285" t="s">
        <v>125</v>
      </c>
      <c r="AK285">
        <v>2.44</v>
      </c>
      <c r="AL285">
        <v>5</v>
      </c>
      <c r="AM285">
        <v>0</v>
      </c>
      <c r="AN285" s="1">
        <v>43507</v>
      </c>
      <c r="AO285">
        <v>4</v>
      </c>
      <c r="AP285">
        <v>18</v>
      </c>
    </row>
    <row r="286" spans="1:42">
      <c r="A286" t="s">
        <v>464</v>
      </c>
      <c r="B286" t="str">
        <f t="shared" si="12"/>
        <v>Neville</v>
      </c>
      <c r="C286" t="str">
        <f t="shared" si="13"/>
        <v>Tredinnick</v>
      </c>
      <c r="D286">
        <f t="shared" ca="1" si="14"/>
        <v>1</v>
      </c>
      <c r="E286" t="str" cm="1">
        <f t="array" ref="E286">_xlfn.IFS(P286&lt;40000, "Low", P286&lt;70000, "MID", P286&lt;100000, "HIGH", P286&gt;=100000, "Executive")</f>
        <v>HIGH</v>
      </c>
      <c r="F286" t="str" cm="1">
        <f t="array" ref="F286">_xlfn.IFS(AJ286="Exceeds", "Top Performer", AJ286="Fully Meets", "Solid Performer", AJ286="Needs Improvement", "Underperformer", AJ286="PIP", "At Risk")</f>
        <v>Solid Performer</v>
      </c>
      <c r="G286" t="str" cm="1">
        <f t="array" ref="G286">_xlfn.IFS(AE286="Active", "Retained", AE286="Voluntarily Terminated", "Voluntary Exit", AE286="Terminated for Cause", "Involuntary Exit")</f>
        <v>Voluntary Exit</v>
      </c>
      <c r="H286">
        <v>10044</v>
      </c>
      <c r="I286">
        <v>1</v>
      </c>
      <c r="J286">
        <v>1</v>
      </c>
      <c r="K286">
        <v>1</v>
      </c>
      <c r="L286">
        <v>5</v>
      </c>
      <c r="M286">
        <v>3</v>
      </c>
      <c r="N286">
        <v>3</v>
      </c>
      <c r="O286">
        <v>0</v>
      </c>
      <c r="P286">
        <v>75281</v>
      </c>
      <c r="Q286">
        <v>1</v>
      </c>
      <c r="R286">
        <v>15</v>
      </c>
      <c r="S286" t="s">
        <v>232</v>
      </c>
      <c r="T286" t="s">
        <v>45</v>
      </c>
      <c r="U286">
        <v>1420</v>
      </c>
      <c r="V286" s="1">
        <v>32268</v>
      </c>
      <c r="W286" t="s">
        <v>46</v>
      </c>
      <c r="X286" t="s">
        <v>59</v>
      </c>
      <c r="Y286" t="s">
        <v>48</v>
      </c>
      <c r="Z286" t="s">
        <v>49</v>
      </c>
      <c r="AA286" t="s">
        <v>50</v>
      </c>
      <c r="AB286" s="1">
        <v>42009</v>
      </c>
      <c r="AC286" s="1">
        <v>42412</v>
      </c>
      <c r="AD286" t="s">
        <v>386</v>
      </c>
      <c r="AE286" t="s">
        <v>61</v>
      </c>
      <c r="AF286" t="s">
        <v>62</v>
      </c>
      <c r="AG286" t="s">
        <v>94</v>
      </c>
      <c r="AH286">
        <v>7</v>
      </c>
      <c r="AI286" t="s">
        <v>124</v>
      </c>
      <c r="AJ286" t="s">
        <v>65</v>
      </c>
      <c r="AK286">
        <v>5</v>
      </c>
      <c r="AL286">
        <v>3</v>
      </c>
      <c r="AM286">
        <v>5</v>
      </c>
      <c r="AN286" s="1">
        <v>42109</v>
      </c>
      <c r="AO286">
        <v>0</v>
      </c>
      <c r="AP286">
        <v>11</v>
      </c>
    </row>
    <row r="287" spans="1:42">
      <c r="A287" t="s">
        <v>465</v>
      </c>
      <c r="B287" t="str">
        <f t="shared" si="12"/>
        <v>Edward</v>
      </c>
      <c r="C287" t="str">
        <f t="shared" si="13"/>
        <v>True</v>
      </c>
      <c r="D287">
        <f t="shared" ca="1" si="14"/>
        <v>5</v>
      </c>
      <c r="E287" t="str" cm="1">
        <f t="array" ref="E287">_xlfn.IFS(P287&lt;40000, "Low", P287&lt;70000, "MID", P287&lt;100000, "HIGH", P287&gt;=100000, "Executive")</f>
        <v>Executive</v>
      </c>
      <c r="F287" t="str" cm="1">
        <f t="array" ref="F287">_xlfn.IFS(AJ287="Exceeds", "Top Performer", AJ287="Fully Meets", "Solid Performer", AJ287="Needs Improvement", "Underperformer", AJ287="PIP", "At Risk")</f>
        <v>Solid Performer</v>
      </c>
      <c r="G287" t="str" cm="1">
        <f t="array" ref="G287">_xlfn.IFS(AE287="Active", "Retained", AE287="Voluntarily Terminated", "Voluntary Exit", AE287="Terminated for Cause", "Involuntary Exit")</f>
        <v>Voluntary Exit</v>
      </c>
      <c r="H287">
        <v>10102</v>
      </c>
      <c r="I287">
        <v>0</v>
      </c>
      <c r="J287">
        <v>0</v>
      </c>
      <c r="K287">
        <v>1</v>
      </c>
      <c r="L287">
        <v>5</v>
      </c>
      <c r="M287">
        <v>4</v>
      </c>
      <c r="N287">
        <v>3</v>
      </c>
      <c r="O287">
        <v>1</v>
      </c>
      <c r="P287">
        <v>100416</v>
      </c>
      <c r="Q287">
        <v>1</v>
      </c>
      <c r="R287">
        <v>24</v>
      </c>
      <c r="S287" t="s">
        <v>81</v>
      </c>
      <c r="T287" t="s">
        <v>45</v>
      </c>
      <c r="U287">
        <v>2451</v>
      </c>
      <c r="V287" s="1">
        <v>30481</v>
      </c>
      <c r="W287" t="s">
        <v>46</v>
      </c>
      <c r="X287" t="s">
        <v>47</v>
      </c>
      <c r="Y287" t="s">
        <v>171</v>
      </c>
      <c r="Z287" t="s">
        <v>49</v>
      </c>
      <c r="AA287" t="s">
        <v>89</v>
      </c>
      <c r="AB287" s="1">
        <v>41323</v>
      </c>
      <c r="AC287" s="1">
        <v>43205</v>
      </c>
      <c r="AD287" t="s">
        <v>386</v>
      </c>
      <c r="AE287" t="s">
        <v>61</v>
      </c>
      <c r="AF287" t="s">
        <v>82</v>
      </c>
      <c r="AG287" t="s">
        <v>83</v>
      </c>
      <c r="AH287">
        <v>10</v>
      </c>
      <c r="AI287" t="s">
        <v>91</v>
      </c>
      <c r="AJ287" t="s">
        <v>65</v>
      </c>
      <c r="AK287">
        <v>4.5999999999999996</v>
      </c>
      <c r="AL287">
        <v>3</v>
      </c>
      <c r="AM287">
        <v>4</v>
      </c>
      <c r="AN287" s="1">
        <v>42778</v>
      </c>
      <c r="AO287">
        <v>0</v>
      </c>
      <c r="AP287">
        <v>9</v>
      </c>
    </row>
    <row r="288" spans="1:42">
      <c r="A288" t="s">
        <v>466</v>
      </c>
      <c r="B288" t="str">
        <f t="shared" si="12"/>
        <v>Cybil</v>
      </c>
      <c r="C288" t="str">
        <f t="shared" si="13"/>
        <v>Trzeciak</v>
      </c>
      <c r="D288">
        <f t="shared" ca="1" si="14"/>
        <v>3</v>
      </c>
      <c r="E288" t="str" cm="1">
        <f t="array" ref="E288">_xlfn.IFS(P288&lt;40000, "Low", P288&lt;70000, "MID", P288&lt;100000, "HIGH", P288&gt;=100000, "Executive")</f>
        <v>HIGH</v>
      </c>
      <c r="F288" t="str" cm="1">
        <f t="array" ref="F288">_xlfn.IFS(AJ288="Exceeds", "Top Performer", AJ288="Fully Meets", "Solid Performer", AJ288="Needs Improvement", "Underperformer", AJ288="PIP", "At Risk")</f>
        <v>Solid Performer</v>
      </c>
      <c r="G288" t="str" cm="1">
        <f t="array" ref="G288">_xlfn.IFS(AE288="Active", "Retained", AE288="Voluntarily Terminated", "Voluntary Exit", AE288="Terminated for Cause", "Involuntary Exit")</f>
        <v>Voluntary Exit</v>
      </c>
      <c r="H288">
        <v>10270</v>
      </c>
      <c r="I288">
        <v>0</v>
      </c>
      <c r="J288">
        <v>0</v>
      </c>
      <c r="K288">
        <v>0</v>
      </c>
      <c r="L288">
        <v>5</v>
      </c>
      <c r="M288">
        <v>5</v>
      </c>
      <c r="N288">
        <v>3</v>
      </c>
      <c r="O288">
        <v>0</v>
      </c>
      <c r="P288">
        <v>74813</v>
      </c>
      <c r="Q288">
        <v>1</v>
      </c>
      <c r="R288">
        <v>20</v>
      </c>
      <c r="S288" t="s">
        <v>67</v>
      </c>
      <c r="T288" t="s">
        <v>45</v>
      </c>
      <c r="U288">
        <v>1778</v>
      </c>
      <c r="V288" s="1">
        <v>31121</v>
      </c>
      <c r="W288" t="s">
        <v>68</v>
      </c>
      <c r="X288" t="s">
        <v>47</v>
      </c>
      <c r="Y288" t="s">
        <v>48</v>
      </c>
      <c r="Z288" t="s">
        <v>49</v>
      </c>
      <c r="AA288" t="s">
        <v>50</v>
      </c>
      <c r="AB288" s="1">
        <v>40553</v>
      </c>
      <c r="AC288" s="1">
        <v>41822</v>
      </c>
      <c r="AD288" t="s">
        <v>100</v>
      </c>
      <c r="AE288" t="s">
        <v>61</v>
      </c>
      <c r="AF288" t="s">
        <v>53</v>
      </c>
      <c r="AG288" t="s">
        <v>79</v>
      </c>
      <c r="AH288">
        <v>11</v>
      </c>
      <c r="AI288" t="s">
        <v>55</v>
      </c>
      <c r="AJ288" t="s">
        <v>65</v>
      </c>
      <c r="AK288">
        <v>4.4000000000000004</v>
      </c>
      <c r="AL288">
        <v>3</v>
      </c>
      <c r="AM288">
        <v>0</v>
      </c>
      <c r="AN288" s="1">
        <v>41644</v>
      </c>
      <c r="AO288">
        <v>0</v>
      </c>
      <c r="AP288">
        <v>5</v>
      </c>
    </row>
    <row r="289" spans="1:42">
      <c r="A289" t="s">
        <v>467</v>
      </c>
      <c r="B289" t="str">
        <f t="shared" si="12"/>
        <v>Jumil</v>
      </c>
      <c r="C289" t="str">
        <f t="shared" si="13"/>
        <v>Turpin</v>
      </c>
      <c r="D289">
        <f t="shared" ca="1" si="14"/>
        <v>11</v>
      </c>
      <c r="E289" t="str" cm="1">
        <f t="array" ref="E289">_xlfn.IFS(P289&lt;40000, "Low", P289&lt;70000, "MID", P289&lt;100000, "HIGH", P289&gt;=100000, "Executive")</f>
        <v>HIGH</v>
      </c>
      <c r="F289" t="str" cm="1">
        <f t="array" ref="F289">_xlfn.IFS(AJ289="Exceeds", "Top Performer", AJ289="Fully Meets", "Solid Performer", AJ289="Needs Improvement", "Underperformer", AJ289="PIP", "At Risk")</f>
        <v>Solid Performer</v>
      </c>
      <c r="G289" t="str" cm="1">
        <f t="array" ref="G289">_xlfn.IFS(AE289="Active", "Retained", AE289="Voluntarily Terminated", "Voluntary Exit", AE289="Terminated for Cause", "Involuntary Exit")</f>
        <v>Retained</v>
      </c>
      <c r="H289">
        <v>10045</v>
      </c>
      <c r="I289">
        <v>1</v>
      </c>
      <c r="J289">
        <v>1</v>
      </c>
      <c r="K289">
        <v>1</v>
      </c>
      <c r="L289">
        <v>1</v>
      </c>
      <c r="M289">
        <v>3</v>
      </c>
      <c r="N289">
        <v>3</v>
      </c>
      <c r="O289">
        <v>0</v>
      </c>
      <c r="P289">
        <v>76029</v>
      </c>
      <c r="Q289">
        <v>0</v>
      </c>
      <c r="R289">
        <v>15</v>
      </c>
      <c r="S289" t="s">
        <v>232</v>
      </c>
      <c r="T289" t="s">
        <v>45</v>
      </c>
      <c r="U289">
        <v>2343</v>
      </c>
      <c r="V289" s="1">
        <v>25293</v>
      </c>
      <c r="W289" t="s">
        <v>46</v>
      </c>
      <c r="X289" t="s">
        <v>59</v>
      </c>
      <c r="Y289" t="s">
        <v>114</v>
      </c>
      <c r="Z289" t="s">
        <v>49</v>
      </c>
      <c r="AA289" t="s">
        <v>50</v>
      </c>
      <c r="AB289" s="1">
        <v>42093</v>
      </c>
      <c r="AD289" t="s">
        <v>51</v>
      </c>
      <c r="AE289" t="s">
        <v>52</v>
      </c>
      <c r="AF289" t="s">
        <v>62</v>
      </c>
      <c r="AG289" t="s">
        <v>94</v>
      </c>
      <c r="AH289">
        <v>7</v>
      </c>
      <c r="AI289" t="s">
        <v>87</v>
      </c>
      <c r="AJ289" t="s">
        <v>65</v>
      </c>
      <c r="AK289">
        <v>5</v>
      </c>
      <c r="AL289">
        <v>4</v>
      </c>
      <c r="AM289">
        <v>7</v>
      </c>
      <c r="AN289" s="1">
        <v>43479</v>
      </c>
      <c r="AO289">
        <v>0</v>
      </c>
      <c r="AP289">
        <v>8</v>
      </c>
    </row>
    <row r="290" spans="1:42">
      <c r="A290" t="s">
        <v>468</v>
      </c>
      <c r="B290" t="str">
        <f t="shared" si="12"/>
        <v>Jackie</v>
      </c>
      <c r="C290" t="str">
        <f t="shared" si="13"/>
        <v>Valentin</v>
      </c>
      <c r="D290">
        <f t="shared" ca="1" si="14"/>
        <v>14</v>
      </c>
      <c r="E290" t="str" cm="1">
        <f t="array" ref="E290">_xlfn.IFS(P290&lt;40000, "Low", P290&lt;70000, "MID", P290&lt;100000, "HIGH", P290&gt;=100000, "Executive")</f>
        <v>MID</v>
      </c>
      <c r="F290" t="str" cm="1">
        <f t="array" ref="F290">_xlfn.IFS(AJ290="Exceeds", "Top Performer", AJ290="Fully Meets", "Solid Performer", AJ290="Needs Improvement", "Underperformer", AJ290="PIP", "At Risk")</f>
        <v>Solid Performer</v>
      </c>
      <c r="G290" t="str" cm="1">
        <f t="array" ref="G290">_xlfn.IFS(AE290="Active", "Retained", AE290="Voluntarily Terminated", "Voluntary Exit", AE290="Terminated for Cause", "Involuntary Exit")</f>
        <v>Retained</v>
      </c>
      <c r="H290">
        <v>10205</v>
      </c>
      <c r="I290">
        <v>1</v>
      </c>
      <c r="J290">
        <v>1</v>
      </c>
      <c r="K290">
        <v>0</v>
      </c>
      <c r="L290">
        <v>1</v>
      </c>
      <c r="M290">
        <v>6</v>
      </c>
      <c r="N290">
        <v>3</v>
      </c>
      <c r="O290">
        <v>0</v>
      </c>
      <c r="P290">
        <v>57859</v>
      </c>
      <c r="Q290">
        <v>0</v>
      </c>
      <c r="R290">
        <v>3</v>
      </c>
      <c r="S290" t="s">
        <v>146</v>
      </c>
      <c r="T290" t="s">
        <v>469</v>
      </c>
      <c r="U290">
        <v>85006</v>
      </c>
      <c r="V290" s="1">
        <v>33381</v>
      </c>
      <c r="W290" t="s">
        <v>68</v>
      </c>
      <c r="X290" t="s">
        <v>59</v>
      </c>
      <c r="Y290" t="s">
        <v>48</v>
      </c>
      <c r="Z290" t="s">
        <v>49</v>
      </c>
      <c r="AA290" t="s">
        <v>105</v>
      </c>
      <c r="AB290" s="1">
        <v>40729</v>
      </c>
      <c r="AD290" t="s">
        <v>51</v>
      </c>
      <c r="AE290" t="s">
        <v>52</v>
      </c>
      <c r="AF290" t="s">
        <v>148</v>
      </c>
      <c r="AG290" t="s">
        <v>149</v>
      </c>
      <c r="AH290">
        <v>17</v>
      </c>
      <c r="AI290" t="s">
        <v>64</v>
      </c>
      <c r="AJ290" t="s">
        <v>65</v>
      </c>
      <c r="AK290">
        <v>2.81</v>
      </c>
      <c r="AL290">
        <v>3</v>
      </c>
      <c r="AM290">
        <v>0</v>
      </c>
      <c r="AN290" s="1">
        <v>43482</v>
      </c>
      <c r="AO290">
        <v>0</v>
      </c>
      <c r="AP290">
        <v>16</v>
      </c>
    </row>
    <row r="291" spans="1:42">
      <c r="A291" t="s">
        <v>470</v>
      </c>
      <c r="B291" t="str">
        <f t="shared" si="12"/>
        <v>Abdellah</v>
      </c>
      <c r="C291" t="str">
        <f t="shared" si="13"/>
        <v>Veera</v>
      </c>
      <c r="D291">
        <f t="shared" ca="1" si="14"/>
        <v>3</v>
      </c>
      <c r="E291" t="str" cm="1">
        <f t="array" ref="E291">_xlfn.IFS(P291&lt;40000, "Low", P291&lt;70000, "MID", P291&lt;100000, "HIGH", P291&gt;=100000, "Executive")</f>
        <v>MID</v>
      </c>
      <c r="F291" t="str" cm="1">
        <f t="array" ref="F291">_xlfn.IFS(AJ291="Exceeds", "Top Performer", AJ291="Fully Meets", "Solid Performer", AJ291="Needs Improvement", "Underperformer", AJ291="PIP", "At Risk")</f>
        <v>Top Performer</v>
      </c>
      <c r="G291" t="str" cm="1">
        <f t="array" ref="G291">_xlfn.IFS(AE291="Active", "Retained", AE291="Voluntarily Terminated", "Voluntary Exit", AE291="Terminated for Cause", "Involuntary Exit")</f>
        <v>Voluntary Exit</v>
      </c>
      <c r="H291">
        <v>10014</v>
      </c>
      <c r="I291">
        <v>0</v>
      </c>
      <c r="J291">
        <v>2</v>
      </c>
      <c r="K291">
        <v>1</v>
      </c>
      <c r="L291">
        <v>5</v>
      </c>
      <c r="M291">
        <v>5</v>
      </c>
      <c r="N291">
        <v>4</v>
      </c>
      <c r="O291">
        <v>0</v>
      </c>
      <c r="P291">
        <v>58523</v>
      </c>
      <c r="Q291">
        <v>1</v>
      </c>
      <c r="R291">
        <v>19</v>
      </c>
      <c r="S291" t="s">
        <v>44</v>
      </c>
      <c r="T291" t="s">
        <v>45</v>
      </c>
      <c r="U291">
        <v>2171</v>
      </c>
      <c r="V291" s="1">
        <v>31808</v>
      </c>
      <c r="W291" t="s">
        <v>46</v>
      </c>
      <c r="X291" t="s">
        <v>74</v>
      </c>
      <c r="Y291" t="s">
        <v>48</v>
      </c>
      <c r="Z291" t="s">
        <v>49</v>
      </c>
      <c r="AA291" t="s">
        <v>50</v>
      </c>
      <c r="AB291" s="1">
        <v>41134</v>
      </c>
      <c r="AC291" s="1">
        <v>42405</v>
      </c>
      <c r="AD291" t="s">
        <v>303</v>
      </c>
      <c r="AE291" t="s">
        <v>61</v>
      </c>
      <c r="AF291" t="s">
        <v>53</v>
      </c>
      <c r="AG291" t="s">
        <v>70</v>
      </c>
      <c r="AH291">
        <v>20</v>
      </c>
      <c r="AI291" t="s">
        <v>55</v>
      </c>
      <c r="AJ291" t="s">
        <v>56</v>
      </c>
      <c r="AK291">
        <v>4.5</v>
      </c>
      <c r="AL291">
        <v>5</v>
      </c>
      <c r="AM291">
        <v>0</v>
      </c>
      <c r="AN291" s="1">
        <v>42401</v>
      </c>
      <c r="AO291">
        <v>0</v>
      </c>
      <c r="AP291">
        <v>15</v>
      </c>
    </row>
    <row r="292" spans="1:42">
      <c r="A292" t="s">
        <v>471</v>
      </c>
      <c r="B292" t="str">
        <f t="shared" si="12"/>
        <v>Vincent</v>
      </c>
      <c r="C292" t="str">
        <f t="shared" si="13"/>
        <v>Vega</v>
      </c>
      <c r="D292">
        <f t="shared" ca="1" si="14"/>
        <v>14</v>
      </c>
      <c r="E292" t="str" cm="1">
        <f t="array" ref="E292">_xlfn.IFS(P292&lt;40000, "Low", P292&lt;70000, "MID", P292&lt;100000, "HIGH", P292&gt;=100000, "Executive")</f>
        <v>HIGH</v>
      </c>
      <c r="F292" t="str" cm="1">
        <f t="array" ref="F292">_xlfn.IFS(AJ292="Exceeds", "Top Performer", AJ292="Fully Meets", "Solid Performer", AJ292="Needs Improvement", "Underperformer", AJ292="PIP", "At Risk")</f>
        <v>Solid Performer</v>
      </c>
      <c r="G292" t="str" cm="1">
        <f t="array" ref="G292">_xlfn.IFS(AE292="Active", "Retained", AE292="Voluntarily Terminated", "Voluntary Exit", AE292="Terminated for Cause", "Involuntary Exit")</f>
        <v>Retained</v>
      </c>
      <c r="H292">
        <v>10144</v>
      </c>
      <c r="I292">
        <v>0</v>
      </c>
      <c r="J292">
        <v>2</v>
      </c>
      <c r="K292">
        <v>1</v>
      </c>
      <c r="L292">
        <v>1</v>
      </c>
      <c r="M292">
        <v>5</v>
      </c>
      <c r="N292">
        <v>3</v>
      </c>
      <c r="O292">
        <v>0</v>
      </c>
      <c r="P292">
        <v>88976</v>
      </c>
      <c r="Q292">
        <v>0</v>
      </c>
      <c r="R292">
        <v>17</v>
      </c>
      <c r="S292" t="s">
        <v>136</v>
      </c>
      <c r="T292" t="s">
        <v>45</v>
      </c>
      <c r="U292">
        <v>2169</v>
      </c>
      <c r="V292" s="1">
        <v>25121</v>
      </c>
      <c r="W292" t="s">
        <v>46</v>
      </c>
      <c r="X292" t="s">
        <v>74</v>
      </c>
      <c r="Y292" t="s">
        <v>48</v>
      </c>
      <c r="Z292" t="s">
        <v>49</v>
      </c>
      <c r="AA292" t="s">
        <v>50</v>
      </c>
      <c r="AB292" s="1">
        <v>40756</v>
      </c>
      <c r="AD292" t="s">
        <v>51</v>
      </c>
      <c r="AE292" t="s">
        <v>52</v>
      </c>
      <c r="AF292" t="s">
        <v>53</v>
      </c>
      <c r="AG292" t="s">
        <v>138</v>
      </c>
      <c r="AH292">
        <v>2</v>
      </c>
      <c r="AI292" t="s">
        <v>87</v>
      </c>
      <c r="AJ292" t="s">
        <v>65</v>
      </c>
      <c r="AK292">
        <v>3.93</v>
      </c>
      <c r="AL292">
        <v>3</v>
      </c>
      <c r="AM292">
        <v>0</v>
      </c>
      <c r="AN292" s="1">
        <v>43523</v>
      </c>
      <c r="AO292">
        <v>0</v>
      </c>
      <c r="AP292">
        <v>19</v>
      </c>
    </row>
    <row r="293" spans="1:42">
      <c r="A293" t="s">
        <v>472</v>
      </c>
      <c r="B293" t="str">
        <f t="shared" si="12"/>
        <v>Noah</v>
      </c>
      <c r="C293" t="str">
        <f t="shared" si="13"/>
        <v>Villanueva</v>
      </c>
      <c r="D293">
        <f t="shared" ca="1" si="14"/>
        <v>14</v>
      </c>
      <c r="E293" t="str" cm="1">
        <f t="array" ref="E293">_xlfn.IFS(P293&lt;40000, "Low", P293&lt;70000, "MID", P293&lt;100000, "HIGH", P293&gt;=100000, "Executive")</f>
        <v>MID</v>
      </c>
      <c r="F293" t="str" cm="1">
        <f t="array" ref="F293">_xlfn.IFS(AJ293="Exceeds", "Top Performer", AJ293="Fully Meets", "Solid Performer", AJ293="Needs Improvement", "Underperformer", AJ293="PIP", "At Risk")</f>
        <v>Solid Performer</v>
      </c>
      <c r="G293" t="str" cm="1">
        <f t="array" ref="G293">_xlfn.IFS(AE293="Active", "Retained", AE293="Voluntarily Terminated", "Voluntary Exit", AE293="Terminated for Cause", "Involuntary Exit")</f>
        <v>Retained</v>
      </c>
      <c r="H293">
        <v>10253</v>
      </c>
      <c r="I293">
        <v>0</v>
      </c>
      <c r="J293">
        <v>0</v>
      </c>
      <c r="K293">
        <v>1</v>
      </c>
      <c r="L293">
        <v>1</v>
      </c>
      <c r="M293">
        <v>6</v>
      </c>
      <c r="N293">
        <v>3</v>
      </c>
      <c r="O293">
        <v>0</v>
      </c>
      <c r="P293">
        <v>55875</v>
      </c>
      <c r="Q293">
        <v>0</v>
      </c>
      <c r="R293">
        <v>3</v>
      </c>
      <c r="S293" t="s">
        <v>146</v>
      </c>
      <c r="T293" t="s">
        <v>473</v>
      </c>
      <c r="U293">
        <v>4063</v>
      </c>
      <c r="V293" s="1">
        <v>32700</v>
      </c>
      <c r="W293" t="s">
        <v>46</v>
      </c>
      <c r="X293" t="s">
        <v>47</v>
      </c>
      <c r="Y293" t="s">
        <v>48</v>
      </c>
      <c r="Z293" t="s">
        <v>49</v>
      </c>
      <c r="AA293" t="s">
        <v>119</v>
      </c>
      <c r="AB293" s="1">
        <v>40973</v>
      </c>
      <c r="AD293" t="s">
        <v>51</v>
      </c>
      <c r="AE293" t="s">
        <v>52</v>
      </c>
      <c r="AF293" t="s">
        <v>148</v>
      </c>
      <c r="AG293" t="s">
        <v>149</v>
      </c>
      <c r="AH293">
        <v>17</v>
      </c>
      <c r="AI293" t="s">
        <v>208</v>
      </c>
      <c r="AJ293" t="s">
        <v>65</v>
      </c>
      <c r="AK293">
        <v>4.5</v>
      </c>
      <c r="AL293">
        <v>4</v>
      </c>
      <c r="AM293">
        <v>0</v>
      </c>
      <c r="AN293" s="1">
        <v>43483</v>
      </c>
      <c r="AO293">
        <v>0</v>
      </c>
      <c r="AP293">
        <v>11</v>
      </c>
    </row>
    <row r="294" spans="1:42">
      <c r="A294" t="s">
        <v>474</v>
      </c>
      <c r="B294" t="str">
        <f t="shared" si="12"/>
        <v>Lord</v>
      </c>
      <c r="C294" t="str">
        <f t="shared" si="13"/>
        <v>Voldemort</v>
      </c>
      <c r="D294">
        <f t="shared" ca="1" si="14"/>
        <v>2</v>
      </c>
      <c r="E294" t="str" cm="1">
        <f t="array" ref="E294">_xlfn.IFS(P294&lt;40000, "Low", P294&lt;70000, "MID", P294&lt;100000, "HIGH", P294&gt;=100000, "Executive")</f>
        <v>Executive</v>
      </c>
      <c r="F294" t="str" cm="1">
        <f t="array" ref="F294">_xlfn.IFS(AJ294="Exceeds", "Top Performer", AJ294="Fully Meets", "Solid Performer", AJ294="Needs Improvement", "Underperformer", AJ294="PIP", "At Risk")</f>
        <v>Solid Performer</v>
      </c>
      <c r="G294" t="str" cm="1">
        <f t="array" ref="G294">_xlfn.IFS(AE294="Active", "Retained", AE294="Voluntarily Terminated", "Voluntary Exit", AE294="Terminated for Cause", "Involuntary Exit")</f>
        <v>Involuntary Exit</v>
      </c>
      <c r="H294">
        <v>10118</v>
      </c>
      <c r="I294">
        <v>1</v>
      </c>
      <c r="J294">
        <v>1</v>
      </c>
      <c r="K294">
        <v>1</v>
      </c>
      <c r="L294">
        <v>4</v>
      </c>
      <c r="M294">
        <v>3</v>
      </c>
      <c r="N294">
        <v>3</v>
      </c>
      <c r="O294">
        <v>0</v>
      </c>
      <c r="P294">
        <v>113999</v>
      </c>
      <c r="Q294">
        <v>1</v>
      </c>
      <c r="R294">
        <v>8</v>
      </c>
      <c r="S294" t="s">
        <v>116</v>
      </c>
      <c r="T294" t="s">
        <v>45</v>
      </c>
      <c r="U294">
        <v>1960</v>
      </c>
      <c r="V294" s="1">
        <v>31631</v>
      </c>
      <c r="W294" t="s">
        <v>46</v>
      </c>
      <c r="X294" t="s">
        <v>59</v>
      </c>
      <c r="Y294" t="s">
        <v>48</v>
      </c>
      <c r="Z294" t="s">
        <v>49</v>
      </c>
      <c r="AA294" t="s">
        <v>89</v>
      </c>
      <c r="AB294" s="1">
        <v>42051</v>
      </c>
      <c r="AC294" s="1">
        <v>42788</v>
      </c>
      <c r="AD294" t="s">
        <v>225</v>
      </c>
      <c r="AE294" t="s">
        <v>111</v>
      </c>
      <c r="AF294" t="s">
        <v>62</v>
      </c>
      <c r="AG294" t="s">
        <v>63</v>
      </c>
      <c r="AH294">
        <v>4</v>
      </c>
      <c r="AI294" t="s">
        <v>87</v>
      </c>
      <c r="AJ294" t="s">
        <v>65</v>
      </c>
      <c r="AK294">
        <v>4.33</v>
      </c>
      <c r="AL294">
        <v>3</v>
      </c>
      <c r="AM294">
        <v>7</v>
      </c>
      <c r="AN294" s="1">
        <v>42781</v>
      </c>
      <c r="AO294">
        <v>0</v>
      </c>
      <c r="AP294">
        <v>9</v>
      </c>
    </row>
    <row r="295" spans="1:42">
      <c r="A295" t="s">
        <v>475</v>
      </c>
      <c r="B295" t="str">
        <f t="shared" si="12"/>
        <v>Colleen</v>
      </c>
      <c r="C295" t="str">
        <f t="shared" si="13"/>
        <v>Volk</v>
      </c>
      <c r="D295">
        <f t="shared" ca="1" si="14"/>
        <v>4</v>
      </c>
      <c r="E295" t="str" cm="1">
        <f t="array" ref="E295">_xlfn.IFS(P295&lt;40000, "Low", P295&lt;70000, "MID", P295&lt;100000, "HIGH", P295&gt;=100000, "Executive")</f>
        <v>MID</v>
      </c>
      <c r="F295" t="str" cm="1">
        <f t="array" ref="F295">_xlfn.IFS(AJ295="Exceeds", "Top Performer", AJ295="Fully Meets", "Solid Performer", AJ295="Needs Improvement", "Underperformer", AJ295="PIP", "At Risk")</f>
        <v>Top Performer</v>
      </c>
      <c r="G295" t="str" cm="1">
        <f t="array" ref="G295">_xlfn.IFS(AE295="Active", "Retained", AE295="Voluntarily Terminated", "Voluntary Exit", AE295="Terminated for Cause", "Involuntary Exit")</f>
        <v>Involuntary Exit</v>
      </c>
      <c r="H295">
        <v>10022</v>
      </c>
      <c r="I295">
        <v>1</v>
      </c>
      <c r="J295">
        <v>1</v>
      </c>
      <c r="K295">
        <v>0</v>
      </c>
      <c r="L295">
        <v>4</v>
      </c>
      <c r="M295">
        <v>5</v>
      </c>
      <c r="N295">
        <v>4</v>
      </c>
      <c r="O295">
        <v>0</v>
      </c>
      <c r="P295">
        <v>49773</v>
      </c>
      <c r="Q295">
        <v>1</v>
      </c>
      <c r="R295">
        <v>19</v>
      </c>
      <c r="S295" t="s">
        <v>44</v>
      </c>
      <c r="T295" t="s">
        <v>45</v>
      </c>
      <c r="U295">
        <v>2747</v>
      </c>
      <c r="V295" s="1">
        <v>31566</v>
      </c>
      <c r="W295" t="s">
        <v>68</v>
      </c>
      <c r="X295" t="s">
        <v>59</v>
      </c>
      <c r="Y295" t="s">
        <v>48</v>
      </c>
      <c r="Z295" t="s">
        <v>49</v>
      </c>
      <c r="AA295" t="s">
        <v>50</v>
      </c>
      <c r="AB295" s="1">
        <v>40812</v>
      </c>
      <c r="AC295" s="1">
        <v>42408</v>
      </c>
      <c r="AD295" t="s">
        <v>476</v>
      </c>
      <c r="AE295" t="s">
        <v>111</v>
      </c>
      <c r="AF295" t="s">
        <v>53</v>
      </c>
      <c r="AG295" t="s">
        <v>106</v>
      </c>
      <c r="AH295">
        <v>18</v>
      </c>
      <c r="AI295" t="s">
        <v>77</v>
      </c>
      <c r="AJ295" t="s">
        <v>56</v>
      </c>
      <c r="AK295">
        <v>4.3</v>
      </c>
      <c r="AL295">
        <v>5</v>
      </c>
      <c r="AM295">
        <v>0</v>
      </c>
      <c r="AN295" s="1">
        <v>42036</v>
      </c>
      <c r="AO295">
        <v>0</v>
      </c>
      <c r="AP295">
        <v>18</v>
      </c>
    </row>
    <row r="296" spans="1:42">
      <c r="A296" t="s">
        <v>477</v>
      </c>
      <c r="B296" t="str">
        <f t="shared" si="12"/>
        <v>Anna</v>
      </c>
      <c r="C296" t="str">
        <f t="shared" si="13"/>
        <v>Von Massenbach</v>
      </c>
      <c r="D296">
        <f t="shared" ca="1" si="14"/>
        <v>10</v>
      </c>
      <c r="E296" t="str" cm="1">
        <f t="array" ref="E296">_xlfn.IFS(P296&lt;40000, "Low", P296&lt;70000, "MID", P296&lt;100000, "HIGH", P296&gt;=100000, "Executive")</f>
        <v>MID</v>
      </c>
      <c r="F296" t="str" cm="1">
        <f t="array" ref="F296">_xlfn.IFS(AJ296="Exceeds", "Top Performer", AJ296="Fully Meets", "Solid Performer", AJ296="Needs Improvement", "Underperformer", AJ296="PIP", "At Risk")</f>
        <v>Solid Performer</v>
      </c>
      <c r="G296" t="str" cm="1">
        <f t="array" ref="G296">_xlfn.IFS(AE296="Active", "Retained", AE296="Voluntarily Terminated", "Voluntary Exit", AE296="Terminated for Cause", "Involuntary Exit")</f>
        <v>Retained</v>
      </c>
      <c r="H296">
        <v>10183</v>
      </c>
      <c r="I296">
        <v>0</v>
      </c>
      <c r="J296">
        <v>0</v>
      </c>
      <c r="K296">
        <v>0</v>
      </c>
      <c r="L296">
        <v>2</v>
      </c>
      <c r="M296">
        <v>5</v>
      </c>
      <c r="N296">
        <v>3</v>
      </c>
      <c r="O296">
        <v>0</v>
      </c>
      <c r="P296">
        <v>62068</v>
      </c>
      <c r="Q296">
        <v>0</v>
      </c>
      <c r="R296">
        <v>19</v>
      </c>
      <c r="S296" t="s">
        <v>44</v>
      </c>
      <c r="T296" t="s">
        <v>45</v>
      </c>
      <c r="U296">
        <v>2124</v>
      </c>
      <c r="V296" s="1">
        <v>31143</v>
      </c>
      <c r="W296" t="s">
        <v>68</v>
      </c>
      <c r="X296" t="s">
        <v>47</v>
      </c>
      <c r="Y296" t="s">
        <v>48</v>
      </c>
      <c r="Z296" t="s">
        <v>49</v>
      </c>
      <c r="AA296" t="s">
        <v>50</v>
      </c>
      <c r="AB296" s="1">
        <v>42190</v>
      </c>
      <c r="AD296" t="s">
        <v>51</v>
      </c>
      <c r="AE296" t="s">
        <v>52</v>
      </c>
      <c r="AF296" t="s">
        <v>53</v>
      </c>
      <c r="AG296" t="s">
        <v>54</v>
      </c>
      <c r="AH296">
        <v>22</v>
      </c>
      <c r="AI296" t="s">
        <v>55</v>
      </c>
      <c r="AJ296" t="s">
        <v>65</v>
      </c>
      <c r="AK296">
        <v>3.21</v>
      </c>
      <c r="AL296">
        <v>3</v>
      </c>
      <c r="AM296">
        <v>0</v>
      </c>
      <c r="AN296" s="1">
        <v>43494</v>
      </c>
      <c r="AO296">
        <v>0</v>
      </c>
      <c r="AP296">
        <v>7</v>
      </c>
    </row>
    <row r="297" spans="1:42">
      <c r="A297" t="s">
        <v>478</v>
      </c>
      <c r="B297" t="str">
        <f t="shared" si="12"/>
        <v>Roger</v>
      </c>
      <c r="C297" t="str">
        <f t="shared" si="13"/>
        <v>Walker</v>
      </c>
      <c r="D297">
        <f t="shared" ca="1" si="14"/>
        <v>11</v>
      </c>
      <c r="E297" t="str" cm="1">
        <f t="array" ref="E297">_xlfn.IFS(P297&lt;40000, "Low", P297&lt;70000, "MID", P297&lt;100000, "HIGH", P297&gt;=100000, "Executive")</f>
        <v>MID</v>
      </c>
      <c r="F297" t="str" cm="1">
        <f t="array" ref="F297">_xlfn.IFS(AJ297="Exceeds", "Top Performer", AJ297="Fully Meets", "Solid Performer", AJ297="Needs Improvement", "Underperformer", AJ297="PIP", "At Risk")</f>
        <v>Solid Performer</v>
      </c>
      <c r="G297" t="str" cm="1">
        <f t="array" ref="G297">_xlfn.IFS(AE297="Active", "Retained", AE297="Voluntarily Terminated", "Voluntary Exit", AE297="Terminated for Cause", "Involuntary Exit")</f>
        <v>Retained</v>
      </c>
      <c r="H297">
        <v>10190</v>
      </c>
      <c r="I297">
        <v>0</v>
      </c>
      <c r="J297">
        <v>0</v>
      </c>
      <c r="K297">
        <v>1</v>
      </c>
      <c r="L297">
        <v>1</v>
      </c>
      <c r="M297">
        <v>5</v>
      </c>
      <c r="N297">
        <v>3</v>
      </c>
      <c r="O297">
        <v>0</v>
      </c>
      <c r="P297">
        <v>66541</v>
      </c>
      <c r="Q297">
        <v>0</v>
      </c>
      <c r="R297">
        <v>20</v>
      </c>
      <c r="S297" t="s">
        <v>67</v>
      </c>
      <c r="T297" t="s">
        <v>45</v>
      </c>
      <c r="U297">
        <v>2459</v>
      </c>
      <c r="V297" s="1">
        <v>27800</v>
      </c>
      <c r="W297" t="s">
        <v>46</v>
      </c>
      <c r="X297" t="s">
        <v>47</v>
      </c>
      <c r="Y297" t="s">
        <v>48</v>
      </c>
      <c r="Z297" t="s">
        <v>49</v>
      </c>
      <c r="AA297" t="s">
        <v>89</v>
      </c>
      <c r="AB297" s="1">
        <v>41869</v>
      </c>
      <c r="AD297" t="s">
        <v>51</v>
      </c>
      <c r="AE297" t="s">
        <v>52</v>
      </c>
      <c r="AF297" t="s">
        <v>53</v>
      </c>
      <c r="AG297" t="s">
        <v>86</v>
      </c>
      <c r="AH297">
        <v>19</v>
      </c>
      <c r="AI297" t="s">
        <v>87</v>
      </c>
      <c r="AJ297" t="s">
        <v>65</v>
      </c>
      <c r="AK297">
        <v>3.11</v>
      </c>
      <c r="AL297">
        <v>5</v>
      </c>
      <c r="AM297">
        <v>0</v>
      </c>
      <c r="AN297" s="1">
        <v>43508</v>
      </c>
      <c r="AO297">
        <v>0</v>
      </c>
      <c r="AP297">
        <v>4</v>
      </c>
    </row>
    <row r="298" spans="1:42">
      <c r="A298" t="s">
        <v>479</v>
      </c>
      <c r="B298" t="str">
        <f t="shared" si="12"/>
        <v>Courtney E</v>
      </c>
      <c r="C298" t="str">
        <f t="shared" si="13"/>
        <v>Wallace</v>
      </c>
      <c r="D298">
        <f t="shared" ca="1" si="14"/>
        <v>0</v>
      </c>
      <c r="E298" t="str" cm="1">
        <f t="array" ref="E298">_xlfn.IFS(P298&lt;40000, "Low", P298&lt;70000, "MID", P298&lt;100000, "HIGH", P298&gt;=100000, "Executive")</f>
        <v>HIGH</v>
      </c>
      <c r="F298" t="str" cm="1">
        <f t="array" ref="F298">_xlfn.IFS(AJ298="Exceeds", "Top Performer", AJ298="Fully Meets", "Solid Performer", AJ298="Needs Improvement", "Underperformer", AJ298="PIP", "At Risk")</f>
        <v>Solid Performer</v>
      </c>
      <c r="G298" t="str" cm="1">
        <f t="array" ref="G298">_xlfn.IFS(AE298="Active", "Retained", AE298="Voluntarily Terminated", "Voluntary Exit", AE298="Terminated for Cause", "Involuntary Exit")</f>
        <v>Voluntary Exit</v>
      </c>
      <c r="H298">
        <v>10274</v>
      </c>
      <c r="I298">
        <v>1</v>
      </c>
      <c r="J298">
        <v>1</v>
      </c>
      <c r="K298">
        <v>0</v>
      </c>
      <c r="L298">
        <v>5</v>
      </c>
      <c r="M298">
        <v>5</v>
      </c>
      <c r="N298">
        <v>3</v>
      </c>
      <c r="O298">
        <v>1</v>
      </c>
      <c r="P298">
        <v>80512</v>
      </c>
      <c r="Q298">
        <v>1</v>
      </c>
      <c r="R298">
        <v>18</v>
      </c>
      <c r="S298" t="s">
        <v>136</v>
      </c>
      <c r="T298" t="s">
        <v>45</v>
      </c>
      <c r="U298">
        <v>2478</v>
      </c>
      <c r="V298" s="1">
        <v>20407</v>
      </c>
      <c r="W298" t="s">
        <v>68</v>
      </c>
      <c r="X298" t="s">
        <v>59</v>
      </c>
      <c r="Y298" t="s">
        <v>48</v>
      </c>
      <c r="Z298" t="s">
        <v>49</v>
      </c>
      <c r="AA298" t="s">
        <v>89</v>
      </c>
      <c r="AB298" s="1">
        <v>40812</v>
      </c>
      <c r="AC298" s="1">
        <v>40910</v>
      </c>
      <c r="AD298" t="s">
        <v>97</v>
      </c>
      <c r="AE298" t="s">
        <v>61</v>
      </c>
      <c r="AF298" t="s">
        <v>53</v>
      </c>
      <c r="AG298" t="s">
        <v>138</v>
      </c>
      <c r="AH298">
        <v>2</v>
      </c>
      <c r="AI298" t="s">
        <v>91</v>
      </c>
      <c r="AJ298" t="s">
        <v>65</v>
      </c>
      <c r="AK298">
        <v>4.5</v>
      </c>
      <c r="AL298">
        <v>3</v>
      </c>
      <c r="AM298">
        <v>0</v>
      </c>
      <c r="AN298" s="1">
        <v>40910</v>
      </c>
      <c r="AO298">
        <v>0</v>
      </c>
      <c r="AP298">
        <v>5</v>
      </c>
    </row>
    <row r="299" spans="1:42">
      <c r="A299" t="s">
        <v>480</v>
      </c>
      <c r="B299" t="str">
        <f t="shared" si="12"/>
        <v>Theresa</v>
      </c>
      <c r="C299" t="str">
        <f t="shared" si="13"/>
        <v>Wallace</v>
      </c>
      <c r="D299">
        <f t="shared" ca="1" si="14"/>
        <v>3</v>
      </c>
      <c r="E299" t="str" cm="1">
        <f t="array" ref="E299">_xlfn.IFS(P299&lt;40000, "Low", P299&lt;70000, "MID", P299&lt;100000, "HIGH", P299&gt;=100000, "Executive")</f>
        <v>MID</v>
      </c>
      <c r="F299" t="str" cm="1">
        <f t="array" ref="F299">_xlfn.IFS(AJ299="Exceeds", "Top Performer", AJ299="Fully Meets", "Solid Performer", AJ299="Needs Improvement", "Underperformer", AJ299="PIP", "At Risk")</f>
        <v>Underperformer</v>
      </c>
      <c r="G299" t="str" cm="1">
        <f t="array" ref="G299">_xlfn.IFS(AE299="Active", "Retained", AE299="Voluntarily Terminated", "Voluntary Exit", AE299="Terminated for Cause", "Involuntary Exit")</f>
        <v>Voluntary Exit</v>
      </c>
      <c r="H299">
        <v>10293</v>
      </c>
      <c r="I299">
        <v>0</v>
      </c>
      <c r="J299">
        <v>0</v>
      </c>
      <c r="K299">
        <v>0</v>
      </c>
      <c r="L299">
        <v>5</v>
      </c>
      <c r="M299">
        <v>5</v>
      </c>
      <c r="N299">
        <v>2</v>
      </c>
      <c r="O299">
        <v>0</v>
      </c>
      <c r="P299">
        <v>50274</v>
      </c>
      <c r="Q299">
        <v>1</v>
      </c>
      <c r="R299">
        <v>19</v>
      </c>
      <c r="S299" t="s">
        <v>44</v>
      </c>
      <c r="T299" t="s">
        <v>45</v>
      </c>
      <c r="U299">
        <v>1887</v>
      </c>
      <c r="V299" s="1">
        <v>29435</v>
      </c>
      <c r="W299" t="s">
        <v>68</v>
      </c>
      <c r="X299" t="s">
        <v>47</v>
      </c>
      <c r="Y299" t="s">
        <v>48</v>
      </c>
      <c r="Z299" t="s">
        <v>49</v>
      </c>
      <c r="AA299" t="s">
        <v>50</v>
      </c>
      <c r="AB299" s="1">
        <v>41134</v>
      </c>
      <c r="AC299" s="1">
        <v>42248</v>
      </c>
      <c r="AD299" t="s">
        <v>60</v>
      </c>
      <c r="AE299" t="s">
        <v>61</v>
      </c>
      <c r="AF299" t="s">
        <v>53</v>
      </c>
      <c r="AG299" t="s">
        <v>72</v>
      </c>
      <c r="AH299">
        <v>16</v>
      </c>
      <c r="AI299" t="s">
        <v>124</v>
      </c>
      <c r="AJ299" t="s">
        <v>125</v>
      </c>
      <c r="AK299">
        <v>2.5</v>
      </c>
      <c r="AL299">
        <v>3</v>
      </c>
      <c r="AM299">
        <v>0</v>
      </c>
      <c r="AN299" s="1">
        <v>41887</v>
      </c>
      <c r="AO299">
        <v>6</v>
      </c>
      <c r="AP299">
        <v>13</v>
      </c>
    </row>
    <row r="300" spans="1:42">
      <c r="A300" t="s">
        <v>481</v>
      </c>
      <c r="B300" t="str">
        <f t="shared" si="12"/>
        <v>Charlie</v>
      </c>
      <c r="C300" t="str">
        <f t="shared" si="13"/>
        <v>Wang</v>
      </c>
      <c r="D300">
        <f t="shared" ca="1" si="14"/>
        <v>9</v>
      </c>
      <c r="E300" t="str" cm="1">
        <f t="array" ref="E300">_xlfn.IFS(P300&lt;40000, "Low", P300&lt;70000, "MID", P300&lt;100000, "HIGH", P300&gt;=100000, "Executive")</f>
        <v>HIGH</v>
      </c>
      <c r="F300" t="str" cm="1">
        <f t="array" ref="F300">_xlfn.IFS(AJ300="Exceeds", "Top Performer", AJ300="Fully Meets", "Solid Performer", AJ300="Needs Improvement", "Underperformer", AJ300="PIP", "At Risk")</f>
        <v>Solid Performer</v>
      </c>
      <c r="G300" t="str" cm="1">
        <f t="array" ref="G300">_xlfn.IFS(AE300="Active", "Retained", AE300="Voluntarily Terminated", "Voluntary Exit", AE300="Terminated for Cause", "Involuntary Exit")</f>
        <v>Retained</v>
      </c>
      <c r="H300">
        <v>10172</v>
      </c>
      <c r="I300">
        <v>0</v>
      </c>
      <c r="J300">
        <v>0</v>
      </c>
      <c r="K300">
        <v>1</v>
      </c>
      <c r="L300">
        <v>1</v>
      </c>
      <c r="M300">
        <v>3</v>
      </c>
      <c r="N300">
        <v>3</v>
      </c>
      <c r="O300">
        <v>0</v>
      </c>
      <c r="P300">
        <v>84903</v>
      </c>
      <c r="Q300">
        <v>0</v>
      </c>
      <c r="R300">
        <v>22</v>
      </c>
      <c r="S300" t="s">
        <v>323</v>
      </c>
      <c r="T300" t="s">
        <v>45</v>
      </c>
      <c r="U300">
        <v>1887</v>
      </c>
      <c r="V300" s="1">
        <v>29775</v>
      </c>
      <c r="W300" t="s">
        <v>46</v>
      </c>
      <c r="X300" t="s">
        <v>47</v>
      </c>
      <c r="Y300" t="s">
        <v>48</v>
      </c>
      <c r="Z300" t="s">
        <v>49</v>
      </c>
      <c r="AA300" t="s">
        <v>119</v>
      </c>
      <c r="AB300" s="1">
        <v>42781</v>
      </c>
      <c r="AD300" t="s">
        <v>51</v>
      </c>
      <c r="AE300" t="s">
        <v>52</v>
      </c>
      <c r="AF300" t="s">
        <v>62</v>
      </c>
      <c r="AG300" t="s">
        <v>204</v>
      </c>
      <c r="AH300">
        <v>13</v>
      </c>
      <c r="AI300" t="s">
        <v>64</v>
      </c>
      <c r="AJ300" t="s">
        <v>65</v>
      </c>
      <c r="AK300">
        <v>3.42</v>
      </c>
      <c r="AL300">
        <v>4</v>
      </c>
      <c r="AM300">
        <v>7</v>
      </c>
      <c r="AN300" s="1">
        <v>43469</v>
      </c>
      <c r="AO300">
        <v>0</v>
      </c>
      <c r="AP300">
        <v>17</v>
      </c>
    </row>
    <row r="301" spans="1:42">
      <c r="A301" t="s">
        <v>482</v>
      </c>
      <c r="B301" t="str">
        <f t="shared" si="12"/>
        <v>Sarah</v>
      </c>
      <c r="C301" t="str">
        <f t="shared" si="13"/>
        <v>Warfield</v>
      </c>
      <c r="D301">
        <f t="shared" ca="1" si="14"/>
        <v>11</v>
      </c>
      <c r="E301" t="str" cm="1">
        <f t="array" ref="E301">_xlfn.IFS(P301&lt;40000, "Low", P301&lt;70000, "MID", P301&lt;100000, "HIGH", P301&gt;=100000, "Executive")</f>
        <v>Executive</v>
      </c>
      <c r="F301" t="str" cm="1">
        <f t="array" ref="F301">_xlfn.IFS(AJ301="Exceeds", "Top Performer", AJ301="Fully Meets", "Solid Performer", AJ301="Needs Improvement", "Underperformer", AJ301="PIP", "At Risk")</f>
        <v>Solid Performer</v>
      </c>
      <c r="G301" t="str" cm="1">
        <f t="array" ref="G301">_xlfn.IFS(AE301="Active", "Retained", AE301="Voluntarily Terminated", "Voluntary Exit", AE301="Terminated for Cause", "Involuntary Exit")</f>
        <v>Retained</v>
      </c>
      <c r="H301">
        <v>10127</v>
      </c>
      <c r="I301">
        <v>0</v>
      </c>
      <c r="J301">
        <v>4</v>
      </c>
      <c r="K301">
        <v>0</v>
      </c>
      <c r="L301">
        <v>1</v>
      </c>
      <c r="M301">
        <v>3</v>
      </c>
      <c r="N301">
        <v>3</v>
      </c>
      <c r="O301">
        <v>0</v>
      </c>
      <c r="P301">
        <v>107226</v>
      </c>
      <c r="Q301">
        <v>0</v>
      </c>
      <c r="R301">
        <v>28</v>
      </c>
      <c r="S301" t="s">
        <v>186</v>
      </c>
      <c r="T301" t="s">
        <v>45</v>
      </c>
      <c r="U301">
        <v>2453</v>
      </c>
      <c r="V301" s="1">
        <v>28612</v>
      </c>
      <c r="W301" t="s">
        <v>68</v>
      </c>
      <c r="X301" t="s">
        <v>85</v>
      </c>
      <c r="Y301" t="s">
        <v>48</v>
      </c>
      <c r="Z301" t="s">
        <v>49</v>
      </c>
      <c r="AA301" t="s">
        <v>119</v>
      </c>
      <c r="AB301" s="1">
        <v>42093</v>
      </c>
      <c r="AD301" t="s">
        <v>51</v>
      </c>
      <c r="AE301" t="s">
        <v>52</v>
      </c>
      <c r="AF301" t="s">
        <v>62</v>
      </c>
      <c r="AG301" t="s">
        <v>94</v>
      </c>
      <c r="AH301">
        <v>7</v>
      </c>
      <c r="AI301" t="s">
        <v>87</v>
      </c>
      <c r="AJ301" t="s">
        <v>65</v>
      </c>
      <c r="AK301">
        <v>4.2</v>
      </c>
      <c r="AL301">
        <v>4</v>
      </c>
      <c r="AM301">
        <v>8</v>
      </c>
      <c r="AN301" s="1">
        <v>43501</v>
      </c>
      <c r="AO301">
        <v>0</v>
      </c>
      <c r="AP301">
        <v>7</v>
      </c>
    </row>
    <row r="302" spans="1:42">
      <c r="A302" t="s">
        <v>483</v>
      </c>
      <c r="B302" t="str">
        <f t="shared" si="12"/>
        <v>Scott</v>
      </c>
      <c r="C302" t="str">
        <f t="shared" si="13"/>
        <v>Whittier</v>
      </c>
      <c r="D302">
        <f t="shared" ca="1" si="14"/>
        <v>3</v>
      </c>
      <c r="E302" t="str" cm="1">
        <f t="array" ref="E302">_xlfn.IFS(P302&lt;40000, "Low", P302&lt;70000, "MID", P302&lt;100000, "HIGH", P302&gt;=100000, "Executive")</f>
        <v>MID</v>
      </c>
      <c r="F302" t="str" cm="1">
        <f t="array" ref="F302">_xlfn.IFS(AJ302="Exceeds", "Top Performer", AJ302="Fully Meets", "Solid Performer", AJ302="Needs Improvement", "Underperformer", AJ302="PIP", "At Risk")</f>
        <v>Solid Performer</v>
      </c>
      <c r="G302" t="str" cm="1">
        <f t="array" ref="G302">_xlfn.IFS(AE302="Active", "Retained", AE302="Voluntarily Terminated", "Voluntary Exit", AE302="Terminated for Cause", "Involuntary Exit")</f>
        <v>Voluntary Exit</v>
      </c>
      <c r="H302">
        <v>10072</v>
      </c>
      <c r="I302">
        <v>0</v>
      </c>
      <c r="J302">
        <v>0</v>
      </c>
      <c r="K302">
        <v>1</v>
      </c>
      <c r="L302">
        <v>5</v>
      </c>
      <c r="M302">
        <v>5</v>
      </c>
      <c r="N302">
        <v>3</v>
      </c>
      <c r="O302">
        <v>0</v>
      </c>
      <c r="P302">
        <v>58371</v>
      </c>
      <c r="Q302">
        <v>1</v>
      </c>
      <c r="R302">
        <v>19</v>
      </c>
      <c r="S302" t="s">
        <v>44</v>
      </c>
      <c r="T302" t="s">
        <v>45</v>
      </c>
      <c r="U302">
        <v>2030</v>
      </c>
      <c r="V302" s="1">
        <v>31921</v>
      </c>
      <c r="W302" t="s">
        <v>46</v>
      </c>
      <c r="X302" t="s">
        <v>47</v>
      </c>
      <c r="Y302" t="s">
        <v>48</v>
      </c>
      <c r="Z302" t="s">
        <v>96</v>
      </c>
      <c r="AA302" t="s">
        <v>50</v>
      </c>
      <c r="AB302" s="1">
        <v>40553</v>
      </c>
      <c r="AC302" s="1">
        <v>41774</v>
      </c>
      <c r="AD302" t="s">
        <v>69</v>
      </c>
      <c r="AE302" t="s">
        <v>61</v>
      </c>
      <c r="AF302" t="s">
        <v>53</v>
      </c>
      <c r="AG302" t="s">
        <v>76</v>
      </c>
      <c r="AH302">
        <v>39</v>
      </c>
      <c r="AI302" t="s">
        <v>55</v>
      </c>
      <c r="AJ302" t="s">
        <v>65</v>
      </c>
      <c r="AK302">
        <v>5</v>
      </c>
      <c r="AL302">
        <v>5</v>
      </c>
      <c r="AM302">
        <v>0</v>
      </c>
      <c r="AN302" s="1">
        <v>41774</v>
      </c>
      <c r="AO302">
        <v>0</v>
      </c>
      <c r="AP302">
        <v>11</v>
      </c>
    </row>
    <row r="303" spans="1:42">
      <c r="A303" t="s">
        <v>484</v>
      </c>
      <c r="B303" t="str">
        <f t="shared" si="12"/>
        <v>Barry</v>
      </c>
      <c r="C303" t="str">
        <f t="shared" si="13"/>
        <v>Wilber</v>
      </c>
      <c r="D303">
        <f t="shared" ca="1" si="14"/>
        <v>4</v>
      </c>
      <c r="E303" t="str" cm="1">
        <f t="array" ref="E303">_xlfn.IFS(P303&lt;40000, "Low", P303&lt;70000, "MID", P303&lt;100000, "HIGH", P303&gt;=100000, "Executive")</f>
        <v>MID</v>
      </c>
      <c r="F303" t="str" cm="1">
        <f t="array" ref="F303">_xlfn.IFS(AJ303="Exceeds", "Top Performer", AJ303="Fully Meets", "Solid Performer", AJ303="Needs Improvement", "Underperformer", AJ303="PIP", "At Risk")</f>
        <v>Solid Performer</v>
      </c>
      <c r="G303" t="str" cm="1">
        <f t="array" ref="G303">_xlfn.IFS(AE303="Active", "Retained", AE303="Voluntarily Terminated", "Voluntary Exit", AE303="Terminated for Cause", "Involuntary Exit")</f>
        <v>Voluntary Exit</v>
      </c>
      <c r="H303">
        <v>10048</v>
      </c>
      <c r="I303">
        <v>1</v>
      </c>
      <c r="J303">
        <v>1</v>
      </c>
      <c r="K303">
        <v>1</v>
      </c>
      <c r="L303">
        <v>5</v>
      </c>
      <c r="M303">
        <v>5</v>
      </c>
      <c r="N303">
        <v>3</v>
      </c>
      <c r="O303">
        <v>0</v>
      </c>
      <c r="P303">
        <v>55140</v>
      </c>
      <c r="Q303">
        <v>1</v>
      </c>
      <c r="R303">
        <v>19</v>
      </c>
      <c r="S303" t="s">
        <v>44</v>
      </c>
      <c r="T303" t="s">
        <v>45</v>
      </c>
      <c r="U303">
        <v>2324</v>
      </c>
      <c r="V303" s="1">
        <v>23994</v>
      </c>
      <c r="W303" t="s">
        <v>46</v>
      </c>
      <c r="X303" t="s">
        <v>59</v>
      </c>
      <c r="Y303" t="s">
        <v>114</v>
      </c>
      <c r="Z303" t="s">
        <v>49</v>
      </c>
      <c r="AA303" t="s">
        <v>50</v>
      </c>
      <c r="AB303" s="1">
        <v>40679</v>
      </c>
      <c r="AC303" s="1">
        <v>42254</v>
      </c>
      <c r="AD303" t="s">
        <v>100</v>
      </c>
      <c r="AE303" t="s">
        <v>61</v>
      </c>
      <c r="AF303" t="s">
        <v>53</v>
      </c>
      <c r="AG303" t="s">
        <v>79</v>
      </c>
      <c r="AH303">
        <v>11</v>
      </c>
      <c r="AI303" t="s">
        <v>208</v>
      </c>
      <c r="AJ303" t="s">
        <v>65</v>
      </c>
      <c r="AK303">
        <v>5</v>
      </c>
      <c r="AL303">
        <v>3</v>
      </c>
      <c r="AM303">
        <v>0</v>
      </c>
      <c r="AN303" s="1">
        <v>42050</v>
      </c>
      <c r="AO303">
        <v>0</v>
      </c>
      <c r="AP303">
        <v>7</v>
      </c>
    </row>
    <row r="304" spans="1:42">
      <c r="A304" t="s">
        <v>485</v>
      </c>
      <c r="B304" t="str">
        <f t="shared" si="12"/>
        <v>Annie</v>
      </c>
      <c r="C304" t="str">
        <f t="shared" si="13"/>
        <v>Wilkes</v>
      </c>
      <c r="D304">
        <f t="shared" ca="1" si="14"/>
        <v>1</v>
      </c>
      <c r="E304" t="str" cm="1">
        <f t="array" ref="E304">_xlfn.IFS(P304&lt;40000, "Low", P304&lt;70000, "MID", P304&lt;100000, "HIGH", P304&gt;=100000, "Executive")</f>
        <v>MID</v>
      </c>
      <c r="F304" t="str" cm="1">
        <f t="array" ref="F304">_xlfn.IFS(AJ304="Exceeds", "Top Performer", AJ304="Fully Meets", "Solid Performer", AJ304="Needs Improvement", "Underperformer", AJ304="PIP", "At Risk")</f>
        <v>Solid Performer</v>
      </c>
      <c r="G304" t="str" cm="1">
        <f t="array" ref="G304">_xlfn.IFS(AE304="Active", "Retained", AE304="Voluntarily Terminated", "Voluntary Exit", AE304="Terminated for Cause", "Involuntary Exit")</f>
        <v>Voluntary Exit</v>
      </c>
      <c r="H304">
        <v>10204</v>
      </c>
      <c r="I304">
        <v>0</v>
      </c>
      <c r="J304">
        <v>2</v>
      </c>
      <c r="K304">
        <v>0</v>
      </c>
      <c r="L304">
        <v>5</v>
      </c>
      <c r="M304">
        <v>5</v>
      </c>
      <c r="N304">
        <v>3</v>
      </c>
      <c r="O304">
        <v>0</v>
      </c>
      <c r="P304">
        <v>58062</v>
      </c>
      <c r="Q304">
        <v>1</v>
      </c>
      <c r="R304">
        <v>19</v>
      </c>
      <c r="S304" t="s">
        <v>44</v>
      </c>
      <c r="T304" t="s">
        <v>45</v>
      </c>
      <c r="U304">
        <v>1876</v>
      </c>
      <c r="V304" s="1">
        <v>30527</v>
      </c>
      <c r="W304" t="s">
        <v>68</v>
      </c>
      <c r="X304" t="s">
        <v>74</v>
      </c>
      <c r="Y304" t="s">
        <v>48</v>
      </c>
      <c r="Z304" t="s">
        <v>49</v>
      </c>
      <c r="AA304" t="s">
        <v>50</v>
      </c>
      <c r="AB304" s="1">
        <v>40553</v>
      </c>
      <c r="AC304" s="1">
        <v>41043</v>
      </c>
      <c r="AD304" t="s">
        <v>97</v>
      </c>
      <c r="AE304" t="s">
        <v>61</v>
      </c>
      <c r="AF304" t="s">
        <v>53</v>
      </c>
      <c r="AG304" t="s">
        <v>86</v>
      </c>
      <c r="AH304">
        <v>19</v>
      </c>
      <c r="AI304" t="s">
        <v>77</v>
      </c>
      <c r="AJ304" t="s">
        <v>65</v>
      </c>
      <c r="AK304">
        <v>3.6</v>
      </c>
      <c r="AL304">
        <v>5</v>
      </c>
      <c r="AM304">
        <v>0</v>
      </c>
      <c r="AN304" s="1">
        <v>40580</v>
      </c>
      <c r="AO304">
        <v>0</v>
      </c>
      <c r="AP304">
        <v>9</v>
      </c>
    </row>
    <row r="305" spans="1:42">
      <c r="A305" t="s">
        <v>486</v>
      </c>
      <c r="B305" t="str">
        <f t="shared" si="12"/>
        <v>Jacquelyn</v>
      </c>
      <c r="C305" t="str">
        <f t="shared" si="13"/>
        <v>Williams</v>
      </c>
      <c r="D305">
        <f t="shared" ca="1" si="14"/>
        <v>3</v>
      </c>
      <c r="E305" t="str" cm="1">
        <f t="array" ref="E305">_xlfn.IFS(P305&lt;40000, "Low", P305&lt;70000, "MID", P305&lt;100000, "HIGH", P305&gt;=100000, "Executive")</f>
        <v>MID</v>
      </c>
      <c r="F305" t="str" cm="1">
        <f t="array" ref="F305">_xlfn.IFS(AJ305="Exceeds", "Top Performer", AJ305="Fully Meets", "Solid Performer", AJ305="Needs Improvement", "Underperformer", AJ305="PIP", "At Risk")</f>
        <v>Solid Performer</v>
      </c>
      <c r="G305" t="str" cm="1">
        <f t="array" ref="G305">_xlfn.IFS(AE305="Active", "Retained", AE305="Voluntarily Terminated", "Voluntary Exit", AE305="Terminated for Cause", "Involuntary Exit")</f>
        <v>Voluntary Exit</v>
      </c>
      <c r="H305">
        <v>10264</v>
      </c>
      <c r="I305">
        <v>0</v>
      </c>
      <c r="J305">
        <v>0</v>
      </c>
      <c r="K305">
        <v>0</v>
      </c>
      <c r="L305">
        <v>5</v>
      </c>
      <c r="M305">
        <v>5</v>
      </c>
      <c r="N305">
        <v>3</v>
      </c>
      <c r="O305">
        <v>1</v>
      </c>
      <c r="P305">
        <v>59728</v>
      </c>
      <c r="Q305">
        <v>1</v>
      </c>
      <c r="R305">
        <v>19</v>
      </c>
      <c r="S305" t="s">
        <v>44</v>
      </c>
      <c r="T305" t="s">
        <v>45</v>
      </c>
      <c r="U305">
        <v>2109</v>
      </c>
      <c r="V305" s="1">
        <v>25478</v>
      </c>
      <c r="W305" t="s">
        <v>68</v>
      </c>
      <c r="X305" t="s">
        <v>47</v>
      </c>
      <c r="Y305" t="s">
        <v>48</v>
      </c>
      <c r="Z305" t="s">
        <v>96</v>
      </c>
      <c r="AA305" t="s">
        <v>89</v>
      </c>
      <c r="AB305" s="1">
        <v>40917</v>
      </c>
      <c r="AC305" s="1">
        <v>42182</v>
      </c>
      <c r="AD305" t="s">
        <v>169</v>
      </c>
      <c r="AE305" t="s">
        <v>61</v>
      </c>
      <c r="AF305" t="s">
        <v>53</v>
      </c>
      <c r="AG305" t="s">
        <v>86</v>
      </c>
      <c r="AH305">
        <v>19</v>
      </c>
      <c r="AI305" t="s">
        <v>91</v>
      </c>
      <c r="AJ305" t="s">
        <v>65</v>
      </c>
      <c r="AK305">
        <v>4.3</v>
      </c>
      <c r="AL305">
        <v>4</v>
      </c>
      <c r="AM305">
        <v>0</v>
      </c>
      <c r="AN305" s="1">
        <v>41792</v>
      </c>
      <c r="AO305">
        <v>0</v>
      </c>
      <c r="AP305">
        <v>16</v>
      </c>
    </row>
    <row r="306" spans="1:42">
      <c r="A306" t="s">
        <v>487</v>
      </c>
      <c r="B306" t="str">
        <f t="shared" si="12"/>
        <v>Jordan</v>
      </c>
      <c r="C306" t="str">
        <f t="shared" si="13"/>
        <v>Winthrop</v>
      </c>
      <c r="D306">
        <f t="shared" ca="1" si="14"/>
        <v>3</v>
      </c>
      <c r="E306" t="str" cm="1">
        <f t="array" ref="E306">_xlfn.IFS(P306&lt;40000, "Low", P306&lt;70000, "MID", P306&lt;100000, "HIGH", P306&gt;=100000, "Executive")</f>
        <v>HIGH</v>
      </c>
      <c r="F306" t="str" cm="1">
        <f t="array" ref="F306">_xlfn.IFS(AJ306="Exceeds", "Top Performer", AJ306="Fully Meets", "Solid Performer", AJ306="Needs Improvement", "Underperformer", AJ306="PIP", "At Risk")</f>
        <v>Top Performer</v>
      </c>
      <c r="G306" t="str" cm="1">
        <f t="array" ref="G306">_xlfn.IFS(AE306="Active", "Retained", AE306="Voluntarily Terminated", "Voluntary Exit", AE306="Terminated for Cause", "Involuntary Exit")</f>
        <v>Voluntary Exit</v>
      </c>
      <c r="H306">
        <v>10033</v>
      </c>
      <c r="I306">
        <v>0</v>
      </c>
      <c r="J306">
        <v>0</v>
      </c>
      <c r="K306">
        <v>1</v>
      </c>
      <c r="L306">
        <v>5</v>
      </c>
      <c r="M306">
        <v>5</v>
      </c>
      <c r="N306">
        <v>4</v>
      </c>
      <c r="O306">
        <v>0</v>
      </c>
      <c r="P306">
        <v>70507</v>
      </c>
      <c r="Q306">
        <v>1</v>
      </c>
      <c r="R306">
        <v>20</v>
      </c>
      <c r="S306" t="s">
        <v>67</v>
      </c>
      <c r="T306" t="s">
        <v>45</v>
      </c>
      <c r="U306">
        <v>2045</v>
      </c>
      <c r="V306" s="1">
        <v>21496</v>
      </c>
      <c r="W306" t="s">
        <v>46</v>
      </c>
      <c r="X306" t="s">
        <v>47</v>
      </c>
      <c r="Y306" t="s">
        <v>48</v>
      </c>
      <c r="Z306" t="s">
        <v>49</v>
      </c>
      <c r="AA306" t="s">
        <v>50</v>
      </c>
      <c r="AB306" s="1">
        <v>41281</v>
      </c>
      <c r="AC306" s="1">
        <v>42421</v>
      </c>
      <c r="AD306" t="s">
        <v>137</v>
      </c>
      <c r="AE306" t="s">
        <v>61</v>
      </c>
      <c r="AF306" t="s">
        <v>53</v>
      </c>
      <c r="AG306" t="s">
        <v>90</v>
      </c>
      <c r="AH306">
        <v>12</v>
      </c>
      <c r="AI306" t="s">
        <v>55</v>
      </c>
      <c r="AJ306" t="s">
        <v>56</v>
      </c>
      <c r="AK306">
        <v>5</v>
      </c>
      <c r="AL306">
        <v>3</v>
      </c>
      <c r="AM306">
        <v>0</v>
      </c>
      <c r="AN306" s="1">
        <v>42388</v>
      </c>
      <c r="AO306">
        <v>0</v>
      </c>
      <c r="AP306">
        <v>7</v>
      </c>
    </row>
    <row r="307" spans="1:42">
      <c r="A307" t="s">
        <v>488</v>
      </c>
      <c r="B307" t="str">
        <f t="shared" si="12"/>
        <v>Hang T</v>
      </c>
      <c r="C307" t="str">
        <f t="shared" si="13"/>
        <v>Wolk</v>
      </c>
      <c r="D307">
        <f t="shared" ca="1" si="14"/>
        <v>11</v>
      </c>
      <c r="E307" t="str" cm="1">
        <f t="array" ref="E307">_xlfn.IFS(P307&lt;40000, "Low", P307&lt;70000, "MID", P307&lt;100000, "HIGH", P307&gt;=100000, "Executive")</f>
        <v>MID</v>
      </c>
      <c r="F307" t="str" cm="1">
        <f t="array" ref="F307">_xlfn.IFS(AJ307="Exceeds", "Top Performer", AJ307="Fully Meets", "Solid Performer", AJ307="Needs Improvement", "Underperformer", AJ307="PIP", "At Risk")</f>
        <v>Solid Performer</v>
      </c>
      <c r="G307" t="str" cm="1">
        <f t="array" ref="G307">_xlfn.IFS(AE307="Active", "Retained", AE307="Voluntarily Terminated", "Voluntary Exit", AE307="Terminated for Cause", "Involuntary Exit")</f>
        <v>Retained</v>
      </c>
      <c r="H307">
        <v>10174</v>
      </c>
      <c r="I307">
        <v>0</v>
      </c>
      <c r="J307">
        <v>0</v>
      </c>
      <c r="K307">
        <v>0</v>
      </c>
      <c r="L307">
        <v>1</v>
      </c>
      <c r="M307">
        <v>5</v>
      </c>
      <c r="N307">
        <v>3</v>
      </c>
      <c r="O307">
        <v>0</v>
      </c>
      <c r="P307">
        <v>60446</v>
      </c>
      <c r="Q307">
        <v>0</v>
      </c>
      <c r="R307">
        <v>20</v>
      </c>
      <c r="S307" t="s">
        <v>67</v>
      </c>
      <c r="T307" t="s">
        <v>45</v>
      </c>
      <c r="U307">
        <v>2302</v>
      </c>
      <c r="V307" s="1">
        <v>31157</v>
      </c>
      <c r="W307" t="s">
        <v>68</v>
      </c>
      <c r="X307" t="s">
        <v>47</v>
      </c>
      <c r="Y307" t="s">
        <v>48</v>
      </c>
      <c r="Z307" t="s">
        <v>49</v>
      </c>
      <c r="AA307" t="s">
        <v>50</v>
      </c>
      <c r="AB307" s="1">
        <v>41911</v>
      </c>
      <c r="AD307" t="s">
        <v>51</v>
      </c>
      <c r="AE307" t="s">
        <v>52</v>
      </c>
      <c r="AF307" t="s">
        <v>53</v>
      </c>
      <c r="AG307" t="s">
        <v>98</v>
      </c>
      <c r="AH307">
        <v>14</v>
      </c>
      <c r="AI307" t="s">
        <v>55</v>
      </c>
      <c r="AJ307" t="s">
        <v>65</v>
      </c>
      <c r="AK307">
        <v>3.4</v>
      </c>
      <c r="AL307">
        <v>4</v>
      </c>
      <c r="AM307">
        <v>0</v>
      </c>
      <c r="AN307" s="1">
        <v>43517</v>
      </c>
      <c r="AO307">
        <v>0</v>
      </c>
      <c r="AP307">
        <v>14</v>
      </c>
    </row>
    <row r="308" spans="1:42">
      <c r="A308" t="s">
        <v>489</v>
      </c>
      <c r="B308" t="str">
        <f t="shared" si="12"/>
        <v>Jason</v>
      </c>
      <c r="C308" t="str">
        <f t="shared" si="13"/>
        <v>Woodson</v>
      </c>
      <c r="D308">
        <f t="shared" ca="1" si="14"/>
        <v>11</v>
      </c>
      <c r="E308" t="str" cm="1">
        <f t="array" ref="E308">_xlfn.IFS(P308&lt;40000, "Low", P308&lt;70000, "MID", P308&lt;100000, "HIGH", P308&gt;=100000, "Executive")</f>
        <v>MID</v>
      </c>
      <c r="F308" t="str" cm="1">
        <f t="array" ref="F308">_xlfn.IFS(AJ308="Exceeds", "Top Performer", AJ308="Fully Meets", "Solid Performer", AJ308="Needs Improvement", "Underperformer", AJ308="PIP", "At Risk")</f>
        <v>Solid Performer</v>
      </c>
      <c r="G308" t="str" cm="1">
        <f t="array" ref="G308">_xlfn.IFS(AE308="Active", "Retained", AE308="Voluntarily Terminated", "Voluntary Exit", AE308="Terminated for Cause", "Involuntary Exit")</f>
        <v>Retained</v>
      </c>
      <c r="H308">
        <v>10135</v>
      </c>
      <c r="I308">
        <v>0</v>
      </c>
      <c r="J308">
        <v>0</v>
      </c>
      <c r="K308">
        <v>1</v>
      </c>
      <c r="L308">
        <v>1</v>
      </c>
      <c r="M308">
        <v>5</v>
      </c>
      <c r="N308">
        <v>3</v>
      </c>
      <c r="O308">
        <v>0</v>
      </c>
      <c r="P308">
        <v>65893</v>
      </c>
      <c r="Q308">
        <v>0</v>
      </c>
      <c r="R308">
        <v>20</v>
      </c>
      <c r="S308" t="s">
        <v>67</v>
      </c>
      <c r="T308" t="s">
        <v>45</v>
      </c>
      <c r="U308">
        <v>1810</v>
      </c>
      <c r="V308" s="1">
        <v>31178</v>
      </c>
      <c r="W308" t="s">
        <v>46</v>
      </c>
      <c r="X308" t="s">
        <v>47</v>
      </c>
      <c r="Y308" t="s">
        <v>48</v>
      </c>
      <c r="Z308" t="s">
        <v>49</v>
      </c>
      <c r="AA308" t="s">
        <v>50</v>
      </c>
      <c r="AB308" s="1">
        <v>41827</v>
      </c>
      <c r="AD308" t="s">
        <v>51</v>
      </c>
      <c r="AE308" t="s">
        <v>52</v>
      </c>
      <c r="AF308" t="s">
        <v>53</v>
      </c>
      <c r="AG308" t="s">
        <v>70</v>
      </c>
      <c r="AH308">
        <v>20</v>
      </c>
      <c r="AI308" t="s">
        <v>55</v>
      </c>
      <c r="AJ308" t="s">
        <v>65</v>
      </c>
      <c r="AK308">
        <v>4.07</v>
      </c>
      <c r="AL308">
        <v>4</v>
      </c>
      <c r="AM308">
        <v>0</v>
      </c>
      <c r="AN308" s="1">
        <v>43524</v>
      </c>
      <c r="AO308">
        <v>0</v>
      </c>
      <c r="AP308">
        <v>13</v>
      </c>
    </row>
    <row r="309" spans="1:42">
      <c r="A309" t="s">
        <v>490</v>
      </c>
      <c r="B309" t="str">
        <f t="shared" si="12"/>
        <v>Catherine</v>
      </c>
      <c r="C309" t="str">
        <f t="shared" si="13"/>
        <v>Ybarra</v>
      </c>
      <c r="D309">
        <f t="shared" ca="1" si="14"/>
        <v>7</v>
      </c>
      <c r="E309" t="str" cm="1">
        <f t="array" ref="E309">_xlfn.IFS(P309&lt;40000, "Low", P309&lt;70000, "MID", P309&lt;100000, "HIGH", P309&gt;=100000, "Executive")</f>
        <v>MID</v>
      </c>
      <c r="F309" t="str" cm="1">
        <f t="array" ref="F309">_xlfn.IFS(AJ309="Exceeds", "Top Performer", AJ309="Fully Meets", "Solid Performer", AJ309="Needs Improvement", "Underperformer", AJ309="PIP", "At Risk")</f>
        <v>At Risk</v>
      </c>
      <c r="G309" t="str" cm="1">
        <f t="array" ref="G309">_xlfn.IFS(AE309="Active", "Retained", AE309="Voluntarily Terminated", "Voluntary Exit", AE309="Terminated for Cause", "Involuntary Exit")</f>
        <v>Voluntary Exit</v>
      </c>
      <c r="H309">
        <v>10301</v>
      </c>
      <c r="I309">
        <v>0</v>
      </c>
      <c r="J309">
        <v>0</v>
      </c>
      <c r="K309">
        <v>0</v>
      </c>
      <c r="L309">
        <v>5</v>
      </c>
      <c r="M309">
        <v>5</v>
      </c>
      <c r="N309">
        <v>1</v>
      </c>
      <c r="O309">
        <v>0</v>
      </c>
      <c r="P309">
        <v>48513</v>
      </c>
      <c r="Q309">
        <v>1</v>
      </c>
      <c r="R309">
        <v>19</v>
      </c>
      <c r="S309" t="s">
        <v>44</v>
      </c>
      <c r="T309" t="s">
        <v>45</v>
      </c>
      <c r="U309">
        <v>2458</v>
      </c>
      <c r="V309" s="1">
        <v>30075</v>
      </c>
      <c r="W309" t="s">
        <v>68</v>
      </c>
      <c r="X309" t="s">
        <v>47</v>
      </c>
      <c r="Y309" t="s">
        <v>48</v>
      </c>
      <c r="Z309" t="s">
        <v>49</v>
      </c>
      <c r="AA309" t="s">
        <v>119</v>
      </c>
      <c r="AB309" s="1">
        <v>39693</v>
      </c>
      <c r="AC309" s="1">
        <v>42276</v>
      </c>
      <c r="AD309" t="s">
        <v>97</v>
      </c>
      <c r="AE309" t="s">
        <v>61</v>
      </c>
      <c r="AF309" t="s">
        <v>53</v>
      </c>
      <c r="AG309" t="s">
        <v>90</v>
      </c>
      <c r="AH309">
        <v>12</v>
      </c>
      <c r="AI309" t="s">
        <v>77</v>
      </c>
      <c r="AJ309" t="s">
        <v>198</v>
      </c>
      <c r="AK309">
        <v>3.2</v>
      </c>
      <c r="AL309">
        <v>2</v>
      </c>
      <c r="AM309">
        <v>0</v>
      </c>
      <c r="AN309" s="1">
        <v>42249</v>
      </c>
      <c r="AO309">
        <v>5</v>
      </c>
      <c r="AP309">
        <v>4</v>
      </c>
    </row>
    <row r="310" spans="1:42">
      <c r="A310" t="s">
        <v>491</v>
      </c>
      <c r="B310" t="str">
        <f t="shared" si="12"/>
        <v>Jennifer</v>
      </c>
      <c r="C310" t="str">
        <f t="shared" si="13"/>
        <v>Zamora</v>
      </c>
      <c r="D310">
        <f t="shared" ca="1" si="14"/>
        <v>15</v>
      </c>
      <c r="E310" t="str" cm="1">
        <f t="array" ref="E310">_xlfn.IFS(P310&lt;40000, "Low", P310&lt;70000, "MID", P310&lt;100000, "HIGH", P310&gt;=100000, "Executive")</f>
        <v>Executive</v>
      </c>
      <c r="F310" t="str" cm="1">
        <f t="array" ref="F310">_xlfn.IFS(AJ310="Exceeds", "Top Performer", AJ310="Fully Meets", "Solid Performer", AJ310="Needs Improvement", "Underperformer", AJ310="PIP", "At Risk")</f>
        <v>Top Performer</v>
      </c>
      <c r="G310" t="str" cm="1">
        <f t="array" ref="G310">_xlfn.IFS(AE310="Active", "Retained", AE310="Voluntarily Terminated", "Voluntary Exit", AE310="Terminated for Cause", "Involuntary Exit")</f>
        <v>Retained</v>
      </c>
      <c r="H310">
        <v>10010</v>
      </c>
      <c r="I310">
        <v>0</v>
      </c>
      <c r="J310">
        <v>0</v>
      </c>
      <c r="K310">
        <v>0</v>
      </c>
      <c r="L310">
        <v>1</v>
      </c>
      <c r="M310">
        <v>3</v>
      </c>
      <c r="N310">
        <v>4</v>
      </c>
      <c r="O310">
        <v>0</v>
      </c>
      <c r="P310">
        <v>220450</v>
      </c>
      <c r="Q310">
        <v>0</v>
      </c>
      <c r="R310">
        <v>6</v>
      </c>
      <c r="S310" t="s">
        <v>492</v>
      </c>
      <c r="T310" t="s">
        <v>45</v>
      </c>
      <c r="U310">
        <v>2067</v>
      </c>
      <c r="V310" s="1">
        <v>29097</v>
      </c>
      <c r="W310" t="s">
        <v>68</v>
      </c>
      <c r="X310" t="s">
        <v>47</v>
      </c>
      <c r="Y310" t="s">
        <v>48</v>
      </c>
      <c r="Z310" t="s">
        <v>49</v>
      </c>
      <c r="AA310" t="s">
        <v>50</v>
      </c>
      <c r="AB310" s="1">
        <v>40278</v>
      </c>
      <c r="AD310" t="s">
        <v>51</v>
      </c>
      <c r="AE310" t="s">
        <v>52</v>
      </c>
      <c r="AF310" t="s">
        <v>62</v>
      </c>
      <c r="AG310" t="s">
        <v>138</v>
      </c>
      <c r="AH310">
        <v>2</v>
      </c>
      <c r="AI310" t="s">
        <v>87</v>
      </c>
      <c r="AJ310" t="s">
        <v>56</v>
      </c>
      <c r="AK310">
        <v>4.5999999999999996</v>
      </c>
      <c r="AL310">
        <v>5</v>
      </c>
      <c r="AM310">
        <v>6</v>
      </c>
      <c r="AN310" s="1">
        <v>43517</v>
      </c>
      <c r="AO310">
        <v>0</v>
      </c>
      <c r="AP310">
        <v>16</v>
      </c>
    </row>
    <row r="311" spans="1:42">
      <c r="A311" t="s">
        <v>493</v>
      </c>
      <c r="B311" t="str">
        <f t="shared" si="12"/>
        <v>Julia</v>
      </c>
      <c r="C311" t="str">
        <f t="shared" si="13"/>
        <v>Zhou</v>
      </c>
      <c r="D311">
        <f t="shared" ca="1" si="14"/>
        <v>11</v>
      </c>
      <c r="E311" t="str" cm="1">
        <f t="array" ref="E311">_xlfn.IFS(P311&lt;40000, "Low", P311&lt;70000, "MID", P311&lt;100000, "HIGH", P311&gt;=100000, "Executive")</f>
        <v>HIGH</v>
      </c>
      <c r="F311" t="str" cm="1">
        <f t="array" ref="F311">_xlfn.IFS(AJ311="Exceeds", "Top Performer", AJ311="Fully Meets", "Solid Performer", AJ311="Needs Improvement", "Underperformer", AJ311="PIP", "At Risk")</f>
        <v>Solid Performer</v>
      </c>
      <c r="G311" t="str" cm="1">
        <f t="array" ref="G311">_xlfn.IFS(AE311="Active", "Retained", AE311="Voluntarily Terminated", "Voluntary Exit", AE311="Terminated for Cause", "Involuntary Exit")</f>
        <v>Retained</v>
      </c>
      <c r="H311">
        <v>10043</v>
      </c>
      <c r="I311">
        <v>0</v>
      </c>
      <c r="J311">
        <v>0</v>
      </c>
      <c r="K311">
        <v>0</v>
      </c>
      <c r="L311">
        <v>1</v>
      </c>
      <c r="M311">
        <v>3</v>
      </c>
      <c r="N311">
        <v>3</v>
      </c>
      <c r="O311">
        <v>0</v>
      </c>
      <c r="P311">
        <v>89292</v>
      </c>
      <c r="Q311">
        <v>0</v>
      </c>
      <c r="R311">
        <v>9</v>
      </c>
      <c r="S311" t="s">
        <v>102</v>
      </c>
      <c r="T311" t="s">
        <v>45</v>
      </c>
      <c r="U311">
        <v>2148</v>
      </c>
      <c r="V311" s="1">
        <v>28910</v>
      </c>
      <c r="W311" t="s">
        <v>68</v>
      </c>
      <c r="X311" t="s">
        <v>47</v>
      </c>
      <c r="Y311" t="s">
        <v>48</v>
      </c>
      <c r="Z311" t="s">
        <v>49</v>
      </c>
      <c r="AA311" t="s">
        <v>50</v>
      </c>
      <c r="AB311" s="1">
        <v>42093</v>
      </c>
      <c r="AD311" t="s">
        <v>51</v>
      </c>
      <c r="AE311" t="s">
        <v>52</v>
      </c>
      <c r="AF311" t="s">
        <v>62</v>
      </c>
      <c r="AG311" t="s">
        <v>63</v>
      </c>
      <c r="AH311">
        <v>4</v>
      </c>
      <c r="AI311" t="s">
        <v>87</v>
      </c>
      <c r="AJ311" t="s">
        <v>65</v>
      </c>
      <c r="AK311">
        <v>5</v>
      </c>
      <c r="AL311">
        <v>3</v>
      </c>
      <c r="AM311">
        <v>5</v>
      </c>
      <c r="AN311" s="1">
        <v>43497</v>
      </c>
      <c r="AO311">
        <v>0</v>
      </c>
      <c r="AP311">
        <v>11</v>
      </c>
    </row>
    <row r="312" spans="1:42">
      <c r="A312" t="s">
        <v>494</v>
      </c>
      <c r="B312" t="str">
        <f t="shared" si="12"/>
        <v>Colleen</v>
      </c>
      <c r="C312" t="str">
        <f t="shared" si="13"/>
        <v>Zima</v>
      </c>
      <c r="D312">
        <f t="shared" ca="1" si="14"/>
        <v>11</v>
      </c>
      <c r="E312" t="str" cm="1">
        <f t="array" ref="E312">_xlfn.IFS(P312&lt;40000, "Low", P312&lt;70000, "MID", P312&lt;100000, "HIGH", P312&gt;=100000, "Executive")</f>
        <v>MID</v>
      </c>
      <c r="F312" t="str" cm="1">
        <f t="array" ref="F312">_xlfn.IFS(AJ312="Exceeds", "Top Performer", AJ312="Fully Meets", "Solid Performer", AJ312="Needs Improvement", "Underperformer", AJ312="PIP", "At Risk")</f>
        <v>Solid Performer</v>
      </c>
      <c r="G312" t="str" cm="1">
        <f t="array" ref="G312">_xlfn.IFS(AE312="Active", "Retained", AE312="Voluntarily Terminated", "Voluntary Exit", AE312="Terminated for Cause", "Involuntary Exit")</f>
        <v>Retained</v>
      </c>
      <c r="H312">
        <v>10271</v>
      </c>
      <c r="I312">
        <v>0</v>
      </c>
      <c r="J312">
        <v>4</v>
      </c>
      <c r="K312">
        <v>0</v>
      </c>
      <c r="L312">
        <v>1</v>
      </c>
      <c r="M312">
        <v>5</v>
      </c>
      <c r="N312">
        <v>3</v>
      </c>
      <c r="O312">
        <v>0</v>
      </c>
      <c r="P312">
        <v>45046</v>
      </c>
      <c r="Q312">
        <v>0</v>
      </c>
      <c r="R312">
        <v>19</v>
      </c>
      <c r="S312" t="s">
        <v>44</v>
      </c>
      <c r="T312" t="s">
        <v>45</v>
      </c>
      <c r="U312">
        <v>1730</v>
      </c>
      <c r="V312" s="1">
        <v>28719</v>
      </c>
      <c r="W312" t="s">
        <v>68</v>
      </c>
      <c r="X312" t="s">
        <v>85</v>
      </c>
      <c r="Y312" t="s">
        <v>48</v>
      </c>
      <c r="Z312" t="s">
        <v>49</v>
      </c>
      <c r="AA312" t="s">
        <v>119</v>
      </c>
      <c r="AB312" s="1">
        <v>41911</v>
      </c>
      <c r="AD312" t="s">
        <v>51</v>
      </c>
      <c r="AE312" t="s">
        <v>52</v>
      </c>
      <c r="AF312" t="s">
        <v>53</v>
      </c>
      <c r="AG312" t="s">
        <v>98</v>
      </c>
      <c r="AH312">
        <v>14</v>
      </c>
      <c r="AI312" t="s">
        <v>55</v>
      </c>
      <c r="AJ312" t="s">
        <v>65</v>
      </c>
      <c r="AK312">
        <v>4.5</v>
      </c>
      <c r="AL312">
        <v>5</v>
      </c>
      <c r="AM312">
        <v>0</v>
      </c>
      <c r="AN312" s="1">
        <v>43495</v>
      </c>
      <c r="AO312">
        <v>0</v>
      </c>
      <c r="AP312">
        <v>2</v>
      </c>
    </row>
  </sheetData>
  <autoFilter ref="AF1:AF312" xr:uid="{7D8AE318-EB7D-4CBF-8335-BCC7C97F7F7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3514-6D56-468C-AEAF-9783C794BBF3}">
  <dimension ref="A1:H10"/>
  <sheetViews>
    <sheetView workbookViewId="0">
      <pane ySplit="1" topLeftCell="C2" activePane="bottomLeft" state="frozen"/>
      <selection pane="bottomLeft" activeCell="F2" sqref="F2"/>
    </sheetView>
  </sheetViews>
  <sheetFormatPr defaultRowHeight="15"/>
  <cols>
    <col min="1" max="1" width="20.140625" bestFit="1" customWidth="1"/>
    <col min="2" max="2" width="16.140625" bestFit="1" customWidth="1"/>
    <col min="3" max="3" width="14.85546875" style="4" bestFit="1" customWidth="1"/>
    <col min="4" max="4" width="14.7109375" style="4" bestFit="1" customWidth="1"/>
    <col min="5" max="5" width="20.5703125" bestFit="1" customWidth="1"/>
    <col min="6" max="6" width="14.28515625" style="3" bestFit="1" customWidth="1"/>
    <col min="7" max="7" width="21.7109375" bestFit="1" customWidth="1"/>
    <col min="8" max="8" width="26.7109375" bestFit="1" customWidth="1"/>
  </cols>
  <sheetData>
    <row r="1" spans="1:8">
      <c r="A1" t="str" cm="1">
        <f t="array" ref="A1:A8">_xlfn.UNIQUE(Employee_Data!AF:AF)</f>
        <v>Department</v>
      </c>
      <c r="B1" t="s">
        <v>495</v>
      </c>
      <c r="C1" s="4" t="s">
        <v>496</v>
      </c>
      <c r="D1" s="4" t="s">
        <v>497</v>
      </c>
      <c r="E1" t="s">
        <v>498</v>
      </c>
      <c r="F1" s="3" t="s">
        <v>499</v>
      </c>
      <c r="G1" t="s">
        <v>500</v>
      </c>
      <c r="H1" t="s">
        <v>501</v>
      </c>
    </row>
    <row r="2" spans="1:8">
      <c r="A2" t="str">
        <v xml:space="preserve">Production       </v>
      </c>
      <c r="B2">
        <f>COUNTIF(Employee_Data!AF:AF, A2)</f>
        <v>209</v>
      </c>
      <c r="C2" s="4">
        <f>SUMIF(Employee_Data!AF:AF, A2, Employee_Data!P:P)</f>
        <v>12530291</v>
      </c>
      <c r="D2" s="4">
        <f>AVERAGEIF(Employee_Data!AF:AF, A2, Employee_Data!P:P)</f>
        <v>59953.545454545456</v>
      </c>
      <c r="E2">
        <f>COUNTIFS(Employee_Data!AF:AF, A2, Employee_Data!Q:Q, 1)</f>
        <v>83</v>
      </c>
      <c r="F2" s="3">
        <f>(E2/B2)</f>
        <v>0.39712918660287083</v>
      </c>
      <c r="G2">
        <f ca="1">AVERAGEIF(Employee_Data!AF:AF, A2, Employee_Data!D:D)</f>
        <v>8.7751196172248811</v>
      </c>
      <c r="H2">
        <f>AVERAGEIF(Employee_Data!AF:AF, A2, Employee_Data!AK:AK)</f>
        <v>4.129569377990431</v>
      </c>
    </row>
    <row r="3" spans="1:8">
      <c r="A3" t="str">
        <v>IT/IS</v>
      </c>
      <c r="B3">
        <f>COUNTIF(Employee_Data!AF:AF, A3)</f>
        <v>50</v>
      </c>
      <c r="C3" s="4">
        <f>SUMIF(Employee_Data!AF:AF, A3, Employee_Data!P:P)</f>
        <v>4853232</v>
      </c>
      <c r="D3" s="4">
        <f>AVERAGEIF(Employee_Data!AF:AF, A3, Employee_Data!P:P)</f>
        <v>97064.639999999999</v>
      </c>
      <c r="E3">
        <f>COUNTIFS(Employee_Data!AF:AF, A3, Employee_Data!Q:Q, 1)</f>
        <v>10</v>
      </c>
      <c r="F3" s="3">
        <f t="shared" ref="F3:F7" si="0">(E3/B3)</f>
        <v>0.2</v>
      </c>
      <c r="G3">
        <f ca="1">AVERAGEIF(Employee_Data!AF:AF, A3, Employee_Data!D:D)</f>
        <v>9.1199999999999992</v>
      </c>
      <c r="H3">
        <f>AVERAGEIF(Employee_Data!AF:AF, A3, Employee_Data!AK:AK)</f>
        <v>4.1539999999999999</v>
      </c>
    </row>
    <row r="4" spans="1:8">
      <c r="A4" t="str">
        <v>Software Engineering</v>
      </c>
      <c r="B4">
        <f>COUNTIF(Employee_Data!AF:AF, A4)</f>
        <v>11</v>
      </c>
      <c r="C4" s="4">
        <f>SUMIF(Employee_Data!AF:AF, A4, Employee_Data!P:P)</f>
        <v>1044884</v>
      </c>
      <c r="D4" s="4">
        <f>AVERAGEIF(Employee_Data!AF:AF, A4, Employee_Data!P:P)</f>
        <v>94989.454545454544</v>
      </c>
      <c r="E4">
        <f>COUNTIFS(Employee_Data!AF:AF, A4, Employee_Data!Q:Q, 1)</f>
        <v>4</v>
      </c>
      <c r="F4" s="3">
        <f t="shared" si="0"/>
        <v>0.36363636363636365</v>
      </c>
      <c r="G4">
        <f ca="1">AVERAGEIF(Employee_Data!AF:AF, A4, Employee_Data!D:D)</f>
        <v>9.1818181818181817</v>
      </c>
      <c r="H4">
        <f>AVERAGEIF(Employee_Data!AF:AF, A4, Employee_Data!AK:AK)</f>
        <v>4.0618181818181824</v>
      </c>
    </row>
    <row r="5" spans="1:8">
      <c r="A5" t="str">
        <v>Admin Offices</v>
      </c>
      <c r="B5">
        <f>COUNTIF(Employee_Data!AF:AF, A5)</f>
        <v>9</v>
      </c>
      <c r="C5" s="4">
        <f>SUMIF(Employee_Data!AF:AF, A5, Employee_Data!P:P)</f>
        <v>646127</v>
      </c>
      <c r="D5" s="4">
        <f>AVERAGEIF(Employee_Data!AF:AF, A5, Employee_Data!P:P)</f>
        <v>71791.888888888891</v>
      </c>
      <c r="E5">
        <f>COUNTIFS(Employee_Data!AF:AF, A5, Employee_Data!Q:Q, 1)</f>
        <v>2</v>
      </c>
      <c r="F5" s="3">
        <f t="shared" si="0"/>
        <v>0.22222222222222221</v>
      </c>
      <c r="G5">
        <f ca="1">AVERAGEIF(Employee_Data!AF:AF, A5, Employee_Data!D:D)</f>
        <v>9.8888888888888893</v>
      </c>
      <c r="H5">
        <f>AVERAGEIF(Employee_Data!AF:AF, A5, Employee_Data!AK:AK)</f>
        <v>4.3933333333333335</v>
      </c>
    </row>
    <row r="6" spans="1:8">
      <c r="A6" t="str">
        <v>Sales</v>
      </c>
      <c r="B6">
        <f>COUNTIF(Employee_Data!AF:AF, A6)</f>
        <v>31</v>
      </c>
      <c r="C6" s="4">
        <f>SUMIF(Employee_Data!AF:AF, A6, Employee_Data!P:P)</f>
        <v>2140899</v>
      </c>
      <c r="D6" s="4">
        <f>AVERAGEIF(Employee_Data!AF:AF, A6, Employee_Data!P:P)</f>
        <v>69061.258064516136</v>
      </c>
      <c r="E6">
        <f>COUNTIFS(Employee_Data!AF:AF, A6, Employee_Data!Q:Q, 1)</f>
        <v>5</v>
      </c>
      <c r="F6" s="3">
        <f t="shared" si="0"/>
        <v>0.16129032258064516</v>
      </c>
      <c r="G6">
        <f ca="1">AVERAGEIF(Employee_Data!AF:AF, A6, Employee_Data!D:D)</f>
        <v>10.870967741935484</v>
      </c>
      <c r="H6">
        <f>AVERAGEIF(Employee_Data!AF:AF, A6, Employee_Data!AK:AK)</f>
        <v>3.818709677419355</v>
      </c>
    </row>
    <row r="7" spans="1:8">
      <c r="A7" t="str">
        <v>Executive Office</v>
      </c>
      <c r="B7">
        <f>COUNTIF(Employee_Data!AF:AF, A7)</f>
        <v>1</v>
      </c>
      <c r="C7" s="4">
        <f>SUMIF(Employee_Data!AF:AF, A7, Employee_Data!P:P)</f>
        <v>250000</v>
      </c>
      <c r="D7" s="4">
        <f>AVERAGEIF(Employee_Data!AF:AF, A7, Employee_Data!P:P)</f>
        <v>250000</v>
      </c>
      <c r="E7">
        <f>COUNTIFS(Employee_Data!AF:AF, A7, Employee_Data!Q:Q, 1)</f>
        <v>0</v>
      </c>
      <c r="F7" s="3">
        <f t="shared" si="0"/>
        <v>0</v>
      </c>
      <c r="G7">
        <f ca="1">AVERAGEIF(Employee_Data!AF:AF, A7, Employee_Data!D:D)</f>
        <v>13</v>
      </c>
      <c r="H7">
        <f>AVERAGEIF(Employee_Data!AF:AF, A7, Employee_Data!AK:AK)</f>
        <v>4.83</v>
      </c>
    </row>
    <row r="8" spans="1:8">
      <c r="A8" s="2">
        <v>0</v>
      </c>
    </row>
    <row r="9" spans="1:8">
      <c r="A9" s="2"/>
    </row>
    <row r="10" spans="1:8">
      <c r="A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0325-C13E-47AA-9B05-26A002FA3414}">
  <dimension ref="A1:N312"/>
  <sheetViews>
    <sheetView workbookViewId="0">
      <pane ySplit="1" topLeftCell="A2" activePane="bottomLeft" state="frozen"/>
      <selection pane="bottomLeft" activeCell="P9" sqref="P9"/>
    </sheetView>
  </sheetViews>
  <sheetFormatPr defaultRowHeight="15"/>
  <cols>
    <col min="1" max="1" width="7.140625" customWidth="1"/>
    <col min="2" max="4" width="23.5703125" customWidth="1"/>
    <col min="5" max="5" width="18" hidden="1" customWidth="1"/>
    <col min="6" max="6" width="29.28515625" hidden="1" customWidth="1"/>
    <col min="7" max="7" width="21.7109375" hidden="1" customWidth="1"/>
    <col min="8" max="8" width="20.140625" hidden="1" customWidth="1"/>
    <col min="9" max="9" width="18.28515625" hidden="1" customWidth="1"/>
    <col min="10" max="10" width="10.85546875" hidden="1" customWidth="1"/>
    <col min="11" max="11" width="22.7109375" hidden="1" customWidth="1"/>
    <col min="12" max="12" width="19.28515625" hidden="1" customWidth="1"/>
    <col min="13" max="13" width="18.140625" hidden="1" customWidth="1"/>
    <col min="14" max="14" width="15.28515625" hidden="1" customWidth="1"/>
  </cols>
  <sheetData>
    <row r="1" spans="1:14">
      <c r="A1" t="s">
        <v>7</v>
      </c>
      <c r="B1" t="s">
        <v>4</v>
      </c>
      <c r="C1" t="s">
        <v>5</v>
      </c>
      <c r="D1" t="s">
        <v>6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</row>
    <row r="2" spans="1:14">
      <c r="A2">
        <v>10026</v>
      </c>
      <c r="B2" t="s">
        <v>43</v>
      </c>
      <c r="C2" t="str" cm="1">
        <f t="array" ref="C2">_xlfn.IFS(L2="Exceeds", "Top Performer", L2="Fully Meets", "Solid Performer", L2="Needs Improvement", "Underperformer", L2="PIP", "At Risk")</f>
        <v>Top Performer</v>
      </c>
      <c r="D2" t="str" cm="1">
        <f t="array" ref="D2">_xlfn.IFS(G2="Active", "Retained", G2="Voluntarily Terminated", "Voluntary Exit", G2="Terminated for Cause", "Involuntary Exit")</f>
        <v>Retained</v>
      </c>
      <c r="F2" t="s">
        <v>51</v>
      </c>
      <c r="G2" t="s">
        <v>52</v>
      </c>
      <c r="H2" t="s">
        <v>53</v>
      </c>
      <c r="I2" t="s">
        <v>54</v>
      </c>
      <c r="J2">
        <v>22</v>
      </c>
      <c r="K2" t="s">
        <v>55</v>
      </c>
      <c r="L2" t="s">
        <v>56</v>
      </c>
      <c r="M2">
        <v>4.5999999999999996</v>
      </c>
      <c r="N2">
        <v>5</v>
      </c>
    </row>
    <row r="3" spans="1:14">
      <c r="A3">
        <v>10084</v>
      </c>
      <c r="B3" t="s">
        <v>502</v>
      </c>
      <c r="C3" t="str" cm="1">
        <f t="array" ref="C3">_xlfn.IFS(L3="Exceeds", "Top Performer", L3="Fully Meets", "Solid Performer", L3="Needs Improvement", "Underperformer", L3="PIP", "At Risk")</f>
        <v>Solid Performer</v>
      </c>
      <c r="D3" t="str" cm="1">
        <f t="array" ref="D3">_xlfn.IFS(G3="Active", "Retained", G3="Voluntarily Terminated", "Voluntary Exit", G3="Terminated for Cause", "Involuntary Exit")</f>
        <v>Voluntary Exit</v>
      </c>
      <c r="E3" s="1">
        <v>42537</v>
      </c>
      <c r="F3" t="s">
        <v>60</v>
      </c>
      <c r="G3" t="s">
        <v>61</v>
      </c>
      <c r="H3" t="s">
        <v>62</v>
      </c>
      <c r="I3" t="s">
        <v>63</v>
      </c>
      <c r="J3">
        <v>4</v>
      </c>
      <c r="K3" t="s">
        <v>64</v>
      </c>
      <c r="L3" t="s">
        <v>65</v>
      </c>
      <c r="M3">
        <v>4.96</v>
      </c>
      <c r="N3">
        <v>3</v>
      </c>
    </row>
    <row r="4" spans="1:14">
      <c r="A4">
        <v>10196</v>
      </c>
      <c r="B4" t="s">
        <v>43</v>
      </c>
      <c r="C4" t="str" cm="1">
        <f t="array" ref="C4">_xlfn.IFS(L4="Exceeds", "Top Performer", L4="Fully Meets", "Solid Performer", L4="Needs Improvement", "Underperformer", L4="PIP", "At Risk")</f>
        <v>Solid Performer</v>
      </c>
      <c r="D4" t="str" cm="1">
        <f t="array" ref="D4">_xlfn.IFS(G4="Active", "Retained", G4="Voluntarily Terminated", "Voluntary Exit", G4="Terminated for Cause", "Involuntary Exit")</f>
        <v>Voluntary Exit</v>
      </c>
      <c r="E4" s="1">
        <v>41176</v>
      </c>
      <c r="F4" t="s">
        <v>69</v>
      </c>
      <c r="G4" t="s">
        <v>61</v>
      </c>
      <c r="H4" t="s">
        <v>53</v>
      </c>
      <c r="I4" t="s">
        <v>70</v>
      </c>
      <c r="J4">
        <v>20</v>
      </c>
      <c r="K4" t="s">
        <v>55</v>
      </c>
      <c r="L4" t="s">
        <v>65</v>
      </c>
      <c r="M4">
        <v>3.02</v>
      </c>
      <c r="N4">
        <v>3</v>
      </c>
    </row>
    <row r="5" spans="1:14">
      <c r="A5">
        <v>10088</v>
      </c>
      <c r="B5" t="s">
        <v>43</v>
      </c>
      <c r="C5" t="str" cm="1">
        <f t="array" ref="C5">_xlfn.IFS(L5="Exceeds", "Top Performer", L5="Fully Meets", "Solid Performer", L5="Needs Improvement", "Underperformer", L5="PIP", "At Risk")</f>
        <v>Solid Performer</v>
      </c>
      <c r="D5" t="str" cm="1">
        <f t="array" ref="D5">_xlfn.IFS(G5="Active", "Retained", G5="Voluntarily Terminated", "Voluntary Exit", G5="Terminated for Cause", "Involuntary Exit")</f>
        <v>Retained</v>
      </c>
      <c r="F5" t="s">
        <v>51</v>
      </c>
      <c r="G5" t="s">
        <v>52</v>
      </c>
      <c r="H5" t="s">
        <v>53</v>
      </c>
      <c r="I5" t="s">
        <v>72</v>
      </c>
      <c r="J5">
        <v>16</v>
      </c>
      <c r="K5" t="s">
        <v>64</v>
      </c>
      <c r="L5" t="s">
        <v>65</v>
      </c>
      <c r="M5">
        <v>4.84</v>
      </c>
      <c r="N5">
        <v>5</v>
      </c>
    </row>
    <row r="6" spans="1:14">
      <c r="A6">
        <v>10069</v>
      </c>
      <c r="B6" t="s">
        <v>43</v>
      </c>
      <c r="C6" t="str" cm="1">
        <f t="array" ref="C6">_xlfn.IFS(L6="Exceeds", "Top Performer", L6="Fully Meets", "Solid Performer", L6="Needs Improvement", "Underperformer", L6="PIP", "At Risk")</f>
        <v>Solid Performer</v>
      </c>
      <c r="D6" t="str" cm="1">
        <f t="array" ref="D6">_xlfn.IFS(G6="Active", "Retained", G6="Voluntarily Terminated", "Voluntary Exit", G6="Terminated for Cause", "Involuntary Exit")</f>
        <v>Voluntary Exit</v>
      </c>
      <c r="E6" s="1">
        <v>42619</v>
      </c>
      <c r="F6" t="s">
        <v>75</v>
      </c>
      <c r="G6" t="s">
        <v>61</v>
      </c>
      <c r="H6" t="s">
        <v>53</v>
      </c>
      <c r="I6" t="s">
        <v>76</v>
      </c>
      <c r="J6">
        <v>39</v>
      </c>
      <c r="K6" t="s">
        <v>77</v>
      </c>
      <c r="L6" t="s">
        <v>65</v>
      </c>
      <c r="M6">
        <v>5</v>
      </c>
      <c r="N6">
        <v>4</v>
      </c>
    </row>
    <row r="7" spans="1:14">
      <c r="A7">
        <v>10002</v>
      </c>
      <c r="B7" t="s">
        <v>43</v>
      </c>
      <c r="C7" t="str" cm="1">
        <f t="array" ref="C7">_xlfn.IFS(L7="Exceeds", "Top Performer", L7="Fully Meets", "Solid Performer", L7="Needs Improvement", "Underperformer", L7="PIP", "At Risk")</f>
        <v>Top Performer</v>
      </c>
      <c r="D7" t="str" cm="1">
        <f t="array" ref="D7">_xlfn.IFS(G7="Active", "Retained", G7="Voluntarily Terminated", "Voluntary Exit", G7="Terminated for Cause", "Involuntary Exit")</f>
        <v>Retained</v>
      </c>
      <c r="F7" t="s">
        <v>51</v>
      </c>
      <c r="G7" t="s">
        <v>52</v>
      </c>
      <c r="H7" t="s">
        <v>53</v>
      </c>
      <c r="I7" t="s">
        <v>79</v>
      </c>
      <c r="J7">
        <v>11</v>
      </c>
      <c r="K7" t="s">
        <v>55</v>
      </c>
      <c r="L7" t="s">
        <v>56</v>
      </c>
      <c r="M7">
        <v>5</v>
      </c>
      <c r="N7">
        <v>5</v>
      </c>
    </row>
    <row r="8" spans="1:14">
      <c r="A8">
        <v>10194</v>
      </c>
      <c r="B8" t="s">
        <v>503</v>
      </c>
      <c r="C8" t="str" cm="1">
        <f t="array" ref="C8">_xlfn.IFS(L8="Exceeds", "Top Performer", L8="Fully Meets", "Solid Performer", L8="Needs Improvement", "Underperformer", L8="PIP", "At Risk")</f>
        <v>Solid Performer</v>
      </c>
      <c r="D8" t="str" cm="1">
        <f t="array" ref="D8">_xlfn.IFS(G8="Active", "Retained", G8="Voluntarily Terminated", "Voluntary Exit", G8="Terminated for Cause", "Involuntary Exit")</f>
        <v>Retained</v>
      </c>
      <c r="F8" t="s">
        <v>51</v>
      </c>
      <c r="G8" t="s">
        <v>52</v>
      </c>
      <c r="H8" t="s">
        <v>82</v>
      </c>
      <c r="I8" t="s">
        <v>83</v>
      </c>
      <c r="J8">
        <v>10</v>
      </c>
      <c r="K8" t="s">
        <v>55</v>
      </c>
      <c r="L8" t="s">
        <v>65</v>
      </c>
      <c r="M8">
        <v>3.04</v>
      </c>
      <c r="N8">
        <v>3</v>
      </c>
    </row>
    <row r="9" spans="1:14">
      <c r="A9">
        <v>10062</v>
      </c>
      <c r="B9" t="s">
        <v>43</v>
      </c>
      <c r="C9" t="str" cm="1">
        <f t="array" ref="C9">_xlfn.IFS(L9="Exceeds", "Top Performer", L9="Fully Meets", "Solid Performer", L9="Needs Improvement", "Underperformer", L9="PIP", "At Risk")</f>
        <v>Solid Performer</v>
      </c>
      <c r="D9" t="str" cm="1">
        <f t="array" ref="D9">_xlfn.IFS(G9="Active", "Retained", G9="Voluntarily Terminated", "Voluntary Exit", G9="Terminated for Cause", "Involuntary Exit")</f>
        <v>Retained</v>
      </c>
      <c r="F9" t="s">
        <v>51</v>
      </c>
      <c r="G9" t="s">
        <v>52</v>
      </c>
      <c r="H9" t="s">
        <v>53</v>
      </c>
      <c r="I9" t="s">
        <v>86</v>
      </c>
      <c r="J9">
        <v>19</v>
      </c>
      <c r="K9" t="s">
        <v>87</v>
      </c>
      <c r="L9" t="s">
        <v>65</v>
      </c>
      <c r="M9">
        <v>5</v>
      </c>
      <c r="N9">
        <v>4</v>
      </c>
    </row>
    <row r="10" spans="1:14">
      <c r="A10">
        <v>10114</v>
      </c>
      <c r="B10" t="s">
        <v>43</v>
      </c>
      <c r="C10" t="str" cm="1">
        <f t="array" ref="C10">_xlfn.IFS(L10="Exceeds", "Top Performer", L10="Fully Meets", "Solid Performer", L10="Needs Improvement", "Underperformer", L10="PIP", "At Risk")</f>
        <v>Solid Performer</v>
      </c>
      <c r="D10" t="str" cm="1">
        <f t="array" ref="D10">_xlfn.IFS(G10="Active", "Retained", G10="Voluntarily Terminated", "Voluntary Exit", G10="Terminated for Cause", "Involuntary Exit")</f>
        <v>Retained</v>
      </c>
      <c r="F10" t="s">
        <v>51</v>
      </c>
      <c r="G10" t="s">
        <v>52</v>
      </c>
      <c r="H10" t="s">
        <v>53</v>
      </c>
      <c r="I10" t="s">
        <v>90</v>
      </c>
      <c r="J10">
        <v>12</v>
      </c>
      <c r="K10" t="s">
        <v>91</v>
      </c>
      <c r="L10" t="s">
        <v>65</v>
      </c>
      <c r="M10">
        <v>4.46</v>
      </c>
      <c r="N10">
        <v>3</v>
      </c>
    </row>
    <row r="11" spans="1:14">
      <c r="A11">
        <v>10250</v>
      </c>
      <c r="B11" t="s">
        <v>43</v>
      </c>
      <c r="C11" t="str" cm="1">
        <f t="array" ref="C11">_xlfn.IFS(L11="Exceeds", "Top Performer", L11="Fully Meets", "Solid Performer", L11="Needs Improvement", "Underperformer", L11="PIP", "At Risk")</f>
        <v>Solid Performer</v>
      </c>
      <c r="D11" t="str" cm="1">
        <f t="array" ref="D11">_xlfn.IFS(G11="Active", "Retained", G11="Voluntarily Terminated", "Voluntary Exit", G11="Terminated for Cause", "Involuntary Exit")</f>
        <v>Retained</v>
      </c>
      <c r="F11" t="s">
        <v>51</v>
      </c>
      <c r="G11" t="s">
        <v>52</v>
      </c>
      <c r="H11" t="s">
        <v>62</v>
      </c>
      <c r="I11" t="s">
        <v>94</v>
      </c>
      <c r="J11">
        <v>7</v>
      </c>
      <c r="K11" t="s">
        <v>64</v>
      </c>
      <c r="L11" t="s">
        <v>65</v>
      </c>
      <c r="M11">
        <v>5</v>
      </c>
      <c r="N11">
        <v>5</v>
      </c>
    </row>
    <row r="12" spans="1:14">
      <c r="A12">
        <v>10252</v>
      </c>
      <c r="B12" t="s">
        <v>43</v>
      </c>
      <c r="C12" t="str" cm="1">
        <f t="array" ref="C12">_xlfn.IFS(L12="Exceeds", "Top Performer", L12="Fully Meets", "Solid Performer", L12="Needs Improvement", "Underperformer", L12="PIP", "At Risk")</f>
        <v>Solid Performer</v>
      </c>
      <c r="D12" t="str" cm="1">
        <f t="array" ref="D12">_xlfn.IFS(G12="Active", "Retained", G12="Voluntarily Terminated", "Voluntary Exit", G12="Terminated for Cause", "Involuntary Exit")</f>
        <v>Voluntary Exit</v>
      </c>
      <c r="E12" s="1">
        <v>42747</v>
      </c>
      <c r="F12" t="s">
        <v>97</v>
      </c>
      <c r="G12" t="s">
        <v>61</v>
      </c>
      <c r="H12" t="s">
        <v>53</v>
      </c>
      <c r="I12" t="s">
        <v>98</v>
      </c>
      <c r="J12">
        <v>14</v>
      </c>
      <c r="K12" t="s">
        <v>91</v>
      </c>
      <c r="L12" t="s">
        <v>65</v>
      </c>
      <c r="M12">
        <v>4.2</v>
      </c>
      <c r="N12">
        <v>4</v>
      </c>
    </row>
    <row r="13" spans="1:14">
      <c r="A13">
        <v>10242</v>
      </c>
      <c r="B13" t="s">
        <v>43</v>
      </c>
      <c r="C13" t="str" cm="1">
        <f t="array" ref="C13">_xlfn.IFS(L13="Exceeds", "Top Performer", L13="Fully Meets", "Solid Performer", L13="Needs Improvement", "Underperformer", L13="PIP", "At Risk")</f>
        <v>Solid Performer</v>
      </c>
      <c r="D13" t="str" cm="1">
        <f t="array" ref="D13">_xlfn.IFS(G13="Active", "Retained", G13="Voluntarily Terminated", "Voluntary Exit", G13="Terminated for Cause", "Involuntary Exit")</f>
        <v>Voluntary Exit</v>
      </c>
      <c r="E13" s="1">
        <v>42632</v>
      </c>
      <c r="F13" t="s">
        <v>100</v>
      </c>
      <c r="G13" t="s">
        <v>61</v>
      </c>
      <c r="H13" t="s">
        <v>53</v>
      </c>
      <c r="I13" t="s">
        <v>70</v>
      </c>
      <c r="J13">
        <v>20</v>
      </c>
      <c r="K13" t="s">
        <v>91</v>
      </c>
      <c r="L13" t="s">
        <v>65</v>
      </c>
      <c r="M13">
        <v>4.2</v>
      </c>
      <c r="N13">
        <v>3</v>
      </c>
    </row>
    <row r="14" spans="1:14">
      <c r="A14">
        <v>10012</v>
      </c>
      <c r="B14" t="s">
        <v>503</v>
      </c>
      <c r="C14" t="str" cm="1">
        <f t="array" ref="C14">_xlfn.IFS(L14="Exceeds", "Top Performer", L14="Fully Meets", "Solid Performer", L14="Needs Improvement", "Underperformer", L14="PIP", "At Risk")</f>
        <v>Top Performer</v>
      </c>
      <c r="D14" t="str" cm="1">
        <f t="array" ref="D14">_xlfn.IFS(G14="Active", "Retained", G14="Voluntarily Terminated", "Voluntary Exit", G14="Terminated for Cause", "Involuntary Exit")</f>
        <v>Retained</v>
      </c>
      <c r="F14" t="s">
        <v>51</v>
      </c>
      <c r="G14" t="s">
        <v>52</v>
      </c>
      <c r="H14" t="s">
        <v>62</v>
      </c>
      <c r="I14" t="s">
        <v>63</v>
      </c>
      <c r="J14">
        <v>4</v>
      </c>
      <c r="K14" t="s">
        <v>91</v>
      </c>
      <c r="L14" t="s">
        <v>56</v>
      </c>
      <c r="M14">
        <v>4.28</v>
      </c>
      <c r="N14">
        <v>4</v>
      </c>
    </row>
    <row r="15" spans="1:14">
      <c r="A15">
        <v>10265</v>
      </c>
      <c r="B15" t="s">
        <v>43</v>
      </c>
      <c r="C15" t="str" cm="1">
        <f t="array" ref="C15">_xlfn.IFS(L15="Exceeds", "Top Performer", L15="Fully Meets", "Solid Performer", L15="Needs Improvement", "Underperformer", L15="PIP", "At Risk")</f>
        <v>Solid Performer</v>
      </c>
      <c r="D15" t="str" cm="1">
        <f t="array" ref="D15">_xlfn.IFS(G15="Active", "Retained", G15="Voluntarily Terminated", "Voluntary Exit", G15="Terminated for Cause", "Involuntary Exit")</f>
        <v>Retained</v>
      </c>
      <c r="F15" t="s">
        <v>51</v>
      </c>
      <c r="G15" t="s">
        <v>52</v>
      </c>
      <c r="H15" t="s">
        <v>53</v>
      </c>
      <c r="I15" t="s">
        <v>106</v>
      </c>
      <c r="J15">
        <v>18</v>
      </c>
      <c r="K15" t="s">
        <v>77</v>
      </c>
      <c r="L15" t="s">
        <v>65</v>
      </c>
      <c r="M15">
        <v>4.5999999999999996</v>
      </c>
      <c r="N15">
        <v>4</v>
      </c>
    </row>
    <row r="16" spans="1:14">
      <c r="A16">
        <v>10066</v>
      </c>
      <c r="B16" t="s">
        <v>43</v>
      </c>
      <c r="C16" t="str" cm="1">
        <f t="array" ref="C16">_xlfn.IFS(L16="Exceeds", "Top Performer", L16="Fully Meets", "Solid Performer", L16="Needs Improvement", "Underperformer", L16="PIP", "At Risk")</f>
        <v>Solid Performer</v>
      </c>
      <c r="D16" t="str" cm="1">
        <f t="array" ref="D16">_xlfn.IFS(G16="Active", "Retained", G16="Voluntarily Terminated", "Voluntary Exit", G16="Terminated for Cause", "Involuntary Exit")</f>
        <v>Voluntary Exit</v>
      </c>
      <c r="E16" s="1">
        <v>42831</v>
      </c>
      <c r="F16" t="s">
        <v>97</v>
      </c>
      <c r="G16" t="s">
        <v>61</v>
      </c>
      <c r="H16" t="s">
        <v>53</v>
      </c>
      <c r="I16" t="s">
        <v>54</v>
      </c>
      <c r="J16">
        <v>22</v>
      </c>
      <c r="K16" t="s">
        <v>108</v>
      </c>
      <c r="L16" t="s">
        <v>65</v>
      </c>
      <c r="M16">
        <v>5</v>
      </c>
      <c r="N16">
        <v>5</v>
      </c>
    </row>
    <row r="17" spans="1:14">
      <c r="A17">
        <v>10061</v>
      </c>
      <c r="B17" t="s">
        <v>43</v>
      </c>
      <c r="C17" t="str" cm="1">
        <f t="array" ref="C17">_xlfn.IFS(L17="Exceeds", "Top Performer", L17="Fully Meets", "Solid Performer", L17="Needs Improvement", "Underperformer", L17="PIP", "At Risk")</f>
        <v>Solid Performer</v>
      </c>
      <c r="D17" t="str" cm="1">
        <f t="array" ref="D17">_xlfn.IFS(G17="Active", "Retained", G17="Voluntarily Terminated", "Voluntary Exit", G17="Terminated for Cause", "Involuntary Exit")</f>
        <v>Involuntary Exit</v>
      </c>
      <c r="E17" s="1">
        <v>42951</v>
      </c>
      <c r="F17" t="s">
        <v>110</v>
      </c>
      <c r="G17" t="s">
        <v>111</v>
      </c>
      <c r="H17" t="s">
        <v>53</v>
      </c>
      <c r="I17" t="s">
        <v>106</v>
      </c>
      <c r="J17">
        <v>18</v>
      </c>
      <c r="K17" t="s">
        <v>77</v>
      </c>
      <c r="L17" t="s">
        <v>65</v>
      </c>
      <c r="M17">
        <v>5</v>
      </c>
      <c r="N17">
        <v>4</v>
      </c>
    </row>
    <row r="18" spans="1:14">
      <c r="A18">
        <v>10023</v>
      </c>
      <c r="B18" t="s">
        <v>503</v>
      </c>
      <c r="C18" t="str" cm="1">
        <f t="array" ref="C18">_xlfn.IFS(L18="Exceeds", "Top Performer", L18="Fully Meets", "Solid Performer", L18="Needs Improvement", "Underperformer", L18="PIP", "At Risk")</f>
        <v>Top Performer</v>
      </c>
      <c r="D18" t="str" cm="1">
        <f t="array" ref="D18">_xlfn.IFS(G18="Active", "Retained", G18="Voluntarily Terminated", "Voluntary Exit", G18="Terminated for Cause", "Involuntary Exit")</f>
        <v>Retained</v>
      </c>
      <c r="F18" t="s">
        <v>51</v>
      </c>
      <c r="G18" t="s">
        <v>52</v>
      </c>
      <c r="H18" t="s">
        <v>53</v>
      </c>
      <c r="I18" t="s">
        <v>106</v>
      </c>
      <c r="J18">
        <v>18</v>
      </c>
      <c r="K18" t="s">
        <v>87</v>
      </c>
      <c r="L18" t="s">
        <v>56</v>
      </c>
      <c r="M18">
        <v>4.4000000000000004</v>
      </c>
      <c r="N18">
        <v>3</v>
      </c>
    </row>
    <row r="19" spans="1:14">
      <c r="A19">
        <v>10055</v>
      </c>
      <c r="B19" t="s">
        <v>43</v>
      </c>
      <c r="C19" t="str" cm="1">
        <f t="array" ref="C19">_xlfn.IFS(L19="Exceeds", "Top Performer", L19="Fully Meets", "Solid Performer", L19="Needs Improvement", "Underperformer", L19="PIP", "At Risk")</f>
        <v>Solid Performer</v>
      </c>
      <c r="D19" t="str" cm="1">
        <f t="array" ref="D19">_xlfn.IFS(G19="Active", "Retained", G19="Voluntarily Terminated", "Voluntary Exit", G19="Terminated for Cause", "Involuntary Exit")</f>
        <v>Retained</v>
      </c>
      <c r="F19" t="s">
        <v>51</v>
      </c>
      <c r="G19" t="s">
        <v>52</v>
      </c>
      <c r="H19" t="s">
        <v>53</v>
      </c>
      <c r="I19" t="s">
        <v>72</v>
      </c>
      <c r="J19">
        <v>16</v>
      </c>
      <c r="K19" t="s">
        <v>77</v>
      </c>
      <c r="L19" t="s">
        <v>65</v>
      </c>
      <c r="M19">
        <v>5</v>
      </c>
      <c r="N19">
        <v>5</v>
      </c>
    </row>
    <row r="20" spans="1:14">
      <c r="A20">
        <v>10245</v>
      </c>
      <c r="B20" t="s">
        <v>502</v>
      </c>
      <c r="C20" t="str" cm="1">
        <f t="array" ref="C20">_xlfn.IFS(L20="Exceeds", "Top Performer", L20="Fully Meets", "Solid Performer", L20="Needs Improvement", "Underperformer", L20="PIP", "At Risk")</f>
        <v>Solid Performer</v>
      </c>
      <c r="D20" t="str" cm="1">
        <f t="array" ref="D20">_xlfn.IFS(G20="Active", "Retained", G20="Voluntarily Terminated", "Voluntary Exit", G20="Terminated for Cause", "Involuntary Exit")</f>
        <v>Involuntary Exit</v>
      </c>
      <c r="E20" s="1">
        <v>42259</v>
      </c>
      <c r="F20" t="s">
        <v>117</v>
      </c>
      <c r="G20" t="s">
        <v>111</v>
      </c>
      <c r="H20" t="s">
        <v>62</v>
      </c>
      <c r="I20" t="s">
        <v>63</v>
      </c>
      <c r="J20">
        <v>4</v>
      </c>
      <c r="K20" t="s">
        <v>77</v>
      </c>
      <c r="L20" t="s">
        <v>65</v>
      </c>
      <c r="M20">
        <v>4.5</v>
      </c>
      <c r="N20">
        <v>4</v>
      </c>
    </row>
    <row r="21" spans="1:14">
      <c r="A21">
        <v>10277</v>
      </c>
      <c r="B21" t="s">
        <v>43</v>
      </c>
      <c r="C21" t="str" cm="1">
        <f t="array" ref="C21">_xlfn.IFS(L21="Exceeds", "Top Performer", L21="Fully Meets", "Solid Performer", L21="Needs Improvement", "Underperformer", L21="PIP", "At Risk")</f>
        <v>Solid Performer</v>
      </c>
      <c r="D21" t="str" cm="1">
        <f t="array" ref="D21">_xlfn.IFS(G21="Active", "Retained", G21="Voluntarily Terminated", "Voluntary Exit", G21="Terminated for Cause", "Involuntary Exit")</f>
        <v>Retained</v>
      </c>
      <c r="F21" t="s">
        <v>51</v>
      </c>
      <c r="G21" t="s">
        <v>52</v>
      </c>
      <c r="H21" t="s">
        <v>53</v>
      </c>
      <c r="I21" t="s">
        <v>76</v>
      </c>
      <c r="K21" t="s">
        <v>55</v>
      </c>
      <c r="L21" t="s">
        <v>65</v>
      </c>
      <c r="M21">
        <v>4.2</v>
      </c>
      <c r="N21">
        <v>4</v>
      </c>
    </row>
    <row r="22" spans="1:14">
      <c r="A22">
        <v>10046</v>
      </c>
      <c r="B22" t="s">
        <v>43</v>
      </c>
      <c r="C22" t="str" cm="1">
        <f t="array" ref="C22">_xlfn.IFS(L22="Exceeds", "Top Performer", L22="Fully Meets", "Solid Performer", L22="Needs Improvement", "Underperformer", L22="PIP", "At Risk")</f>
        <v>Solid Performer</v>
      </c>
      <c r="D22" t="str" cm="1">
        <f t="array" ref="D22">_xlfn.IFS(G22="Active", "Retained", G22="Voluntarily Terminated", "Voluntary Exit", G22="Terminated for Cause", "Involuntary Exit")</f>
        <v>Retained</v>
      </c>
      <c r="F22" t="s">
        <v>51</v>
      </c>
      <c r="G22" t="s">
        <v>52</v>
      </c>
      <c r="H22" t="s">
        <v>53</v>
      </c>
      <c r="I22" t="s">
        <v>79</v>
      </c>
      <c r="J22">
        <v>11</v>
      </c>
      <c r="K22" t="s">
        <v>77</v>
      </c>
      <c r="L22" t="s">
        <v>65</v>
      </c>
      <c r="M22">
        <v>5</v>
      </c>
      <c r="N22">
        <v>3</v>
      </c>
    </row>
    <row r="23" spans="1:14">
      <c r="A23">
        <v>10226</v>
      </c>
      <c r="B23" t="s">
        <v>43</v>
      </c>
      <c r="C23" t="str" cm="1">
        <f t="array" ref="C23">_xlfn.IFS(L23="Exceeds", "Top Performer", L23="Fully Meets", "Solid Performer", L23="Needs Improvement", "Underperformer", L23="PIP", "At Risk")</f>
        <v>Solid Performer</v>
      </c>
      <c r="D23" t="str" cm="1">
        <f t="array" ref="D23">_xlfn.IFS(G23="Active", "Retained", G23="Voluntarily Terminated", "Voluntary Exit", G23="Terminated for Cause", "Involuntary Exit")</f>
        <v>Retained</v>
      </c>
      <c r="F23" t="s">
        <v>51</v>
      </c>
      <c r="G23" t="s">
        <v>52</v>
      </c>
      <c r="H23" t="s">
        <v>53</v>
      </c>
      <c r="I23" t="s">
        <v>86</v>
      </c>
      <c r="J23">
        <v>19</v>
      </c>
      <c r="K23" t="s">
        <v>64</v>
      </c>
      <c r="L23" t="s">
        <v>65</v>
      </c>
      <c r="M23">
        <v>4.2</v>
      </c>
      <c r="N23">
        <v>3</v>
      </c>
    </row>
    <row r="24" spans="1:14">
      <c r="A24">
        <v>10003</v>
      </c>
      <c r="B24" t="s">
        <v>43</v>
      </c>
      <c r="C24" t="str" cm="1">
        <f t="array" ref="C24">_xlfn.IFS(L24="Exceeds", "Top Performer", L24="Fully Meets", "Solid Performer", L24="Needs Improvement", "Underperformer", L24="PIP", "At Risk")</f>
        <v>Top Performer</v>
      </c>
      <c r="D24" t="str" cm="1">
        <f t="array" ref="D24">_xlfn.IFS(G24="Active", "Retained", G24="Voluntarily Terminated", "Voluntary Exit", G24="Terminated for Cause", "Involuntary Exit")</f>
        <v>Retained</v>
      </c>
      <c r="F24" t="s">
        <v>51</v>
      </c>
      <c r="G24" t="s">
        <v>52</v>
      </c>
      <c r="H24" t="s">
        <v>53</v>
      </c>
      <c r="I24" t="s">
        <v>90</v>
      </c>
      <c r="J24">
        <v>12</v>
      </c>
      <c r="K24" t="s">
        <v>64</v>
      </c>
      <c r="L24" t="s">
        <v>56</v>
      </c>
      <c r="M24">
        <v>5</v>
      </c>
      <c r="N24">
        <v>3</v>
      </c>
    </row>
    <row r="25" spans="1:14">
      <c r="A25">
        <v>10294</v>
      </c>
      <c r="B25" t="s">
        <v>43</v>
      </c>
      <c r="C25" t="str" cm="1">
        <f t="array" ref="C25">_xlfn.IFS(L25="Exceeds", "Top Performer", L25="Fully Meets", "Solid Performer", L25="Needs Improvement", "Underperformer", L25="PIP", "At Risk")</f>
        <v>Underperformer</v>
      </c>
      <c r="D25" t="str" cm="1">
        <f t="array" ref="D25">_xlfn.IFS(G25="Active", "Retained", G25="Voluntarily Terminated", "Voluntary Exit", G25="Terminated for Cause", "Involuntary Exit")</f>
        <v>Retained</v>
      </c>
      <c r="F25" t="s">
        <v>51</v>
      </c>
      <c r="G25" t="s">
        <v>52</v>
      </c>
      <c r="H25" t="s">
        <v>53</v>
      </c>
      <c r="I25" t="s">
        <v>54</v>
      </c>
      <c r="J25">
        <v>22</v>
      </c>
      <c r="K25" t="s">
        <v>124</v>
      </c>
      <c r="L25" t="s">
        <v>125</v>
      </c>
      <c r="M25">
        <v>2</v>
      </c>
      <c r="N25">
        <v>3</v>
      </c>
    </row>
    <row r="26" spans="1:14">
      <c r="A26">
        <v>10267</v>
      </c>
      <c r="B26" t="s">
        <v>43</v>
      </c>
      <c r="C26" t="str" cm="1">
        <f t="array" ref="C26">_xlfn.IFS(L26="Exceeds", "Top Performer", L26="Fully Meets", "Solid Performer", L26="Needs Improvement", "Underperformer", L26="PIP", "At Risk")</f>
        <v>Solid Performer</v>
      </c>
      <c r="D26" t="str" cm="1">
        <f t="array" ref="D26">_xlfn.IFS(G26="Active", "Retained", G26="Voluntarily Terminated", "Voluntary Exit", G26="Terminated for Cause", "Involuntary Exit")</f>
        <v>Voluntary Exit</v>
      </c>
      <c r="E26" s="1">
        <v>41733</v>
      </c>
      <c r="F26" t="s">
        <v>60</v>
      </c>
      <c r="G26" t="s">
        <v>61</v>
      </c>
      <c r="H26" t="s">
        <v>53</v>
      </c>
      <c r="I26" t="s">
        <v>72</v>
      </c>
      <c r="J26">
        <v>16</v>
      </c>
      <c r="K26" t="s">
        <v>77</v>
      </c>
      <c r="L26" t="s">
        <v>65</v>
      </c>
      <c r="M26">
        <v>4.8</v>
      </c>
      <c r="N26">
        <v>5</v>
      </c>
    </row>
    <row r="27" spans="1:14">
      <c r="A27">
        <v>10199</v>
      </c>
      <c r="B27" t="s">
        <v>502</v>
      </c>
      <c r="C27" t="str" cm="1">
        <f t="array" ref="C27">_xlfn.IFS(L27="Exceeds", "Top Performer", L27="Fully Meets", "Solid Performer", L27="Needs Improvement", "Underperformer", L27="PIP", "At Risk")</f>
        <v>Solid Performer</v>
      </c>
      <c r="D27" t="str" cm="1">
        <f t="array" ref="D27">_xlfn.IFS(G27="Active", "Retained", G27="Voluntarily Terminated", "Voluntary Exit", G27="Terminated for Cause", "Involuntary Exit")</f>
        <v>Involuntary Exit</v>
      </c>
      <c r="E27" s="1">
        <v>42419</v>
      </c>
      <c r="F27" t="s">
        <v>130</v>
      </c>
      <c r="G27" t="s">
        <v>111</v>
      </c>
      <c r="H27" t="s">
        <v>62</v>
      </c>
      <c r="I27" t="s">
        <v>63</v>
      </c>
      <c r="J27">
        <v>4</v>
      </c>
      <c r="K27" t="s">
        <v>55</v>
      </c>
      <c r="L27" t="s">
        <v>65</v>
      </c>
      <c r="M27">
        <v>3.5</v>
      </c>
      <c r="N27">
        <v>5</v>
      </c>
    </row>
    <row r="28" spans="1:14">
      <c r="A28">
        <v>10081</v>
      </c>
      <c r="B28" t="s">
        <v>502</v>
      </c>
      <c r="C28" t="str" cm="1">
        <f t="array" ref="C28">_xlfn.IFS(L28="Exceeds", "Top Performer", L28="Fully Meets", "Solid Performer", L28="Needs Improvement", "Underperformer", L28="PIP", "At Risk")</f>
        <v>Solid Performer</v>
      </c>
      <c r="D28" t="str" cm="1">
        <f t="array" ref="D28">_xlfn.IFS(G28="Active", "Retained", G28="Voluntarily Terminated", "Voluntary Exit", G28="Terminated for Cause", "Involuntary Exit")</f>
        <v>Retained</v>
      </c>
      <c r="F28" t="s">
        <v>51</v>
      </c>
      <c r="G28" t="s">
        <v>52</v>
      </c>
      <c r="H28" t="s">
        <v>133</v>
      </c>
      <c r="I28" t="s">
        <v>134</v>
      </c>
      <c r="J28">
        <v>3</v>
      </c>
      <c r="K28" t="s">
        <v>91</v>
      </c>
      <c r="L28" t="s">
        <v>65</v>
      </c>
      <c r="M28">
        <v>5</v>
      </c>
      <c r="N28">
        <v>4</v>
      </c>
    </row>
    <row r="29" spans="1:14">
      <c r="A29">
        <v>10175</v>
      </c>
      <c r="B29" t="s">
        <v>503</v>
      </c>
      <c r="C29" t="str" cm="1">
        <f t="array" ref="C29">_xlfn.IFS(L29="Exceeds", "Top Performer", L29="Fully Meets", "Solid Performer", L29="Needs Improvement", "Underperformer", L29="PIP", "At Risk")</f>
        <v>Solid Performer</v>
      </c>
      <c r="D29" t="str" cm="1">
        <f t="array" ref="D29">_xlfn.IFS(G29="Active", "Retained", G29="Voluntarily Terminated", "Voluntary Exit", G29="Terminated for Cause", "Involuntary Exit")</f>
        <v>Voluntary Exit</v>
      </c>
      <c r="E29" s="1">
        <v>41858</v>
      </c>
      <c r="F29" t="s">
        <v>137</v>
      </c>
      <c r="G29" t="s">
        <v>61</v>
      </c>
      <c r="H29" t="s">
        <v>53</v>
      </c>
      <c r="I29" t="s">
        <v>138</v>
      </c>
      <c r="J29">
        <v>2</v>
      </c>
      <c r="K29" t="s">
        <v>64</v>
      </c>
      <c r="L29" t="s">
        <v>65</v>
      </c>
      <c r="M29">
        <v>3.39</v>
      </c>
      <c r="N29">
        <v>3</v>
      </c>
    </row>
    <row r="30" spans="1:14">
      <c r="A30">
        <v>10177</v>
      </c>
      <c r="B30" t="s">
        <v>43</v>
      </c>
      <c r="C30" t="str" cm="1">
        <f t="array" ref="C30">_xlfn.IFS(L30="Exceeds", "Top Performer", L30="Fully Meets", "Solid Performer", L30="Needs Improvement", "Underperformer", L30="PIP", "At Risk")</f>
        <v>Solid Performer</v>
      </c>
      <c r="D30" t="str" cm="1">
        <f t="array" ref="D30">_xlfn.IFS(G30="Active", "Retained", G30="Voluntarily Terminated", "Voluntary Exit", G30="Terminated for Cause", "Involuntary Exit")</f>
        <v>Voluntary Exit</v>
      </c>
      <c r="E30" s="1">
        <v>41440</v>
      </c>
      <c r="F30" t="s">
        <v>97</v>
      </c>
      <c r="G30" t="s">
        <v>61</v>
      </c>
      <c r="H30" t="s">
        <v>53</v>
      </c>
      <c r="I30" t="s">
        <v>98</v>
      </c>
      <c r="J30">
        <v>14</v>
      </c>
      <c r="K30" t="s">
        <v>77</v>
      </c>
      <c r="L30" t="s">
        <v>65</v>
      </c>
      <c r="M30">
        <v>3.35</v>
      </c>
      <c r="N30">
        <v>4</v>
      </c>
    </row>
    <row r="31" spans="1:14">
      <c r="A31">
        <v>10238</v>
      </c>
      <c r="B31" t="s">
        <v>43</v>
      </c>
      <c r="C31" t="str" cm="1">
        <f t="array" ref="C31">_xlfn.IFS(L31="Exceeds", "Top Performer", L31="Fully Meets", "Solid Performer", L31="Needs Improvement", "Underperformer", L31="PIP", "At Risk")</f>
        <v>Solid Performer</v>
      </c>
      <c r="D31" t="str" cm="1">
        <f t="array" ref="D31">_xlfn.IFS(G31="Active", "Retained", G31="Voluntarily Terminated", "Voluntary Exit", G31="Terminated for Cause", "Involuntary Exit")</f>
        <v>Retained</v>
      </c>
      <c r="F31" t="s">
        <v>51</v>
      </c>
      <c r="G31" t="s">
        <v>52</v>
      </c>
      <c r="H31" t="s">
        <v>133</v>
      </c>
      <c r="I31" t="s">
        <v>134</v>
      </c>
      <c r="J31">
        <v>1</v>
      </c>
      <c r="K31" t="s">
        <v>91</v>
      </c>
      <c r="L31" t="s">
        <v>65</v>
      </c>
      <c r="M31">
        <v>4.5</v>
      </c>
      <c r="N31">
        <v>2</v>
      </c>
    </row>
    <row r="32" spans="1:14">
      <c r="A32">
        <v>10184</v>
      </c>
      <c r="B32" t="s">
        <v>43</v>
      </c>
      <c r="C32" t="str" cm="1">
        <f t="array" ref="C32">_xlfn.IFS(L32="Exceeds", "Top Performer", L32="Fully Meets", "Solid Performer", L32="Needs Improvement", "Underperformer", L32="PIP", "At Risk")</f>
        <v>Solid Performer</v>
      </c>
      <c r="D32" t="str" cm="1">
        <f t="array" ref="D32">_xlfn.IFS(G32="Active", "Retained", G32="Voluntarily Terminated", "Voluntary Exit", G32="Terminated for Cause", "Involuntary Exit")</f>
        <v>Retained</v>
      </c>
      <c r="F32" t="s">
        <v>51</v>
      </c>
      <c r="G32" t="s">
        <v>52</v>
      </c>
      <c r="H32" t="s">
        <v>53</v>
      </c>
      <c r="I32" t="s">
        <v>76</v>
      </c>
      <c r="K32" t="s">
        <v>77</v>
      </c>
      <c r="L32" t="s">
        <v>65</v>
      </c>
      <c r="M32">
        <v>3.19</v>
      </c>
      <c r="N32">
        <v>3</v>
      </c>
    </row>
    <row r="33" spans="1:14">
      <c r="A33">
        <v>10203</v>
      </c>
      <c r="B33" t="s">
        <v>43</v>
      </c>
      <c r="C33" t="str" cm="1">
        <f t="array" ref="C33">_xlfn.IFS(L33="Exceeds", "Top Performer", L33="Fully Meets", "Solid Performer", L33="Needs Improvement", "Underperformer", L33="PIP", "At Risk")</f>
        <v>Solid Performer</v>
      </c>
      <c r="D33" t="str" cm="1">
        <f t="array" ref="D33">_xlfn.IFS(G33="Active", "Retained", G33="Voluntarily Terminated", "Voluntary Exit", G33="Terminated for Cause", "Involuntary Exit")</f>
        <v>Retained</v>
      </c>
      <c r="F33" t="s">
        <v>51</v>
      </c>
      <c r="G33" t="s">
        <v>52</v>
      </c>
      <c r="H33" t="s">
        <v>53</v>
      </c>
      <c r="I33" t="s">
        <v>70</v>
      </c>
      <c r="J33">
        <v>20</v>
      </c>
      <c r="K33" t="s">
        <v>91</v>
      </c>
      <c r="L33" t="s">
        <v>65</v>
      </c>
      <c r="M33">
        <v>3.5</v>
      </c>
      <c r="N33">
        <v>5</v>
      </c>
    </row>
    <row r="34" spans="1:14">
      <c r="A34">
        <v>10188</v>
      </c>
      <c r="B34" t="s">
        <v>503</v>
      </c>
      <c r="C34" t="str" cm="1">
        <f t="array" ref="C34">_xlfn.IFS(L34="Exceeds", "Top Performer", L34="Fully Meets", "Solid Performer", L34="Needs Improvement", "Underperformer", L34="PIP", "At Risk")</f>
        <v>Solid Performer</v>
      </c>
      <c r="D34" t="str" cm="1">
        <f t="array" ref="D34">_xlfn.IFS(G34="Active", "Retained", G34="Voluntarily Terminated", "Voluntary Exit", G34="Terminated for Cause", "Involuntary Exit")</f>
        <v>Voluntary Exit</v>
      </c>
      <c r="E34" s="1">
        <v>41853</v>
      </c>
      <c r="F34" t="s">
        <v>97</v>
      </c>
      <c r="G34" t="s">
        <v>61</v>
      </c>
      <c r="H34" t="s">
        <v>148</v>
      </c>
      <c r="I34" t="s">
        <v>149</v>
      </c>
      <c r="J34">
        <v>17</v>
      </c>
      <c r="K34" t="s">
        <v>77</v>
      </c>
      <c r="L34" t="s">
        <v>65</v>
      </c>
      <c r="M34">
        <v>3.14</v>
      </c>
      <c r="N34">
        <v>5</v>
      </c>
    </row>
    <row r="35" spans="1:14">
      <c r="A35">
        <v>10107</v>
      </c>
      <c r="B35" t="s">
        <v>43</v>
      </c>
      <c r="C35" t="str" cm="1">
        <f t="array" ref="C35">_xlfn.IFS(L35="Exceeds", "Top Performer", L35="Fully Meets", "Solid Performer", L35="Needs Improvement", "Underperformer", L35="PIP", "At Risk")</f>
        <v>Solid Performer</v>
      </c>
      <c r="D35" t="str" cm="1">
        <f t="array" ref="D35">_xlfn.IFS(G35="Active", "Retained", G35="Voluntarily Terminated", "Voluntary Exit", G35="Terminated for Cause", "Involuntary Exit")</f>
        <v>Retained</v>
      </c>
      <c r="F35" t="s">
        <v>51</v>
      </c>
      <c r="G35" t="s">
        <v>52</v>
      </c>
      <c r="H35" t="s">
        <v>53</v>
      </c>
      <c r="I35" t="s">
        <v>79</v>
      </c>
      <c r="J35">
        <v>11</v>
      </c>
      <c r="K35" t="s">
        <v>87</v>
      </c>
      <c r="L35" t="s">
        <v>65</v>
      </c>
      <c r="M35">
        <v>4.51</v>
      </c>
      <c r="N35">
        <v>4</v>
      </c>
    </row>
    <row r="36" spans="1:14">
      <c r="A36">
        <v>10181</v>
      </c>
      <c r="B36" t="s">
        <v>43</v>
      </c>
      <c r="C36" t="str" cm="1">
        <f t="array" ref="C36">_xlfn.IFS(L36="Exceeds", "Top Performer", L36="Fully Meets", "Solid Performer", L36="Needs Improvement", "Underperformer", L36="PIP", "At Risk")</f>
        <v>Solid Performer</v>
      </c>
      <c r="D36" t="str" cm="1">
        <f t="array" ref="D36">_xlfn.IFS(G36="Active", "Retained", G36="Voluntarily Terminated", "Voluntary Exit", G36="Terminated for Cause", "Involuntary Exit")</f>
        <v>Retained</v>
      </c>
      <c r="F36" t="s">
        <v>51</v>
      </c>
      <c r="G36" t="s">
        <v>52</v>
      </c>
      <c r="H36" t="s">
        <v>53</v>
      </c>
      <c r="I36" t="s">
        <v>86</v>
      </c>
      <c r="J36">
        <v>19</v>
      </c>
      <c r="K36" t="s">
        <v>64</v>
      </c>
      <c r="L36" t="s">
        <v>65</v>
      </c>
      <c r="M36">
        <v>3.25</v>
      </c>
      <c r="N36">
        <v>5</v>
      </c>
    </row>
    <row r="37" spans="1:14">
      <c r="A37">
        <v>10150</v>
      </c>
      <c r="B37" t="s">
        <v>503</v>
      </c>
      <c r="C37" t="str" cm="1">
        <f t="array" ref="C37">_xlfn.IFS(L37="Exceeds", "Top Performer", L37="Fully Meets", "Solid Performer", L37="Needs Improvement", "Underperformer", L37="PIP", "At Risk")</f>
        <v>Solid Performer</v>
      </c>
      <c r="D37" t="str" cm="1">
        <f t="array" ref="D37">_xlfn.IFS(G37="Active", "Retained", G37="Voluntarily Terminated", "Voluntary Exit", G37="Terminated for Cause", "Involuntary Exit")</f>
        <v>Retained</v>
      </c>
      <c r="F37" t="s">
        <v>51</v>
      </c>
      <c r="G37" t="s">
        <v>52</v>
      </c>
      <c r="H37" t="s">
        <v>82</v>
      </c>
      <c r="I37" t="s">
        <v>154</v>
      </c>
      <c r="J37">
        <v>5</v>
      </c>
      <c r="K37" t="s">
        <v>77</v>
      </c>
      <c r="L37" t="s">
        <v>65</v>
      </c>
      <c r="M37">
        <v>3.84</v>
      </c>
      <c r="N37">
        <v>3</v>
      </c>
    </row>
    <row r="38" spans="1:14">
      <c r="A38">
        <v>10001</v>
      </c>
      <c r="B38" t="s">
        <v>503</v>
      </c>
      <c r="C38" t="str" cm="1">
        <f t="array" ref="C38">_xlfn.IFS(L38="Exceeds", "Top Performer", L38="Fully Meets", "Solid Performer", L38="Needs Improvement", "Underperformer", L38="PIP", "At Risk")</f>
        <v>Top Performer</v>
      </c>
      <c r="D38" t="str" cm="1">
        <f t="array" ref="D38">_xlfn.IFS(G38="Active", "Retained", G38="Voluntarily Terminated", "Voluntary Exit", G38="Terminated for Cause", "Involuntary Exit")</f>
        <v>Retained</v>
      </c>
      <c r="F38" t="s">
        <v>51</v>
      </c>
      <c r="G38" t="s">
        <v>52</v>
      </c>
      <c r="H38" t="s">
        <v>53</v>
      </c>
      <c r="I38" t="s">
        <v>138</v>
      </c>
      <c r="J38">
        <v>2</v>
      </c>
      <c r="K38" t="s">
        <v>64</v>
      </c>
      <c r="L38" t="s">
        <v>56</v>
      </c>
      <c r="M38">
        <v>5</v>
      </c>
      <c r="N38">
        <v>3</v>
      </c>
    </row>
    <row r="39" spans="1:14">
      <c r="A39">
        <v>10085</v>
      </c>
      <c r="B39" t="s">
        <v>503</v>
      </c>
      <c r="C39" t="str" cm="1">
        <f t="array" ref="C39">_xlfn.IFS(L39="Exceeds", "Top Performer", L39="Fully Meets", "Solid Performer", L39="Needs Improvement", "Underperformer", L39="PIP", "At Risk")</f>
        <v>Solid Performer</v>
      </c>
      <c r="D39" t="str" cm="1">
        <f t="array" ref="D39">_xlfn.IFS(G39="Active", "Retained", G39="Voluntarily Terminated", "Voluntary Exit", G39="Terminated for Cause", "Involuntary Exit")</f>
        <v>Retained</v>
      </c>
      <c r="F39" t="s">
        <v>51</v>
      </c>
      <c r="G39" t="s">
        <v>52</v>
      </c>
      <c r="H39" t="s">
        <v>82</v>
      </c>
      <c r="I39" t="s">
        <v>83</v>
      </c>
      <c r="J39">
        <v>10</v>
      </c>
      <c r="K39" t="s">
        <v>64</v>
      </c>
      <c r="L39" t="s">
        <v>65</v>
      </c>
      <c r="M39">
        <v>4.96</v>
      </c>
      <c r="N39">
        <v>4</v>
      </c>
    </row>
    <row r="40" spans="1:14">
      <c r="A40">
        <v>10115</v>
      </c>
      <c r="B40" t="s">
        <v>43</v>
      </c>
      <c r="C40" t="str" cm="1">
        <f t="array" ref="C40">_xlfn.IFS(L40="Exceeds", "Top Performer", L40="Fully Meets", "Solid Performer", L40="Needs Improvement", "Underperformer", L40="PIP", "At Risk")</f>
        <v>Solid Performer</v>
      </c>
      <c r="D40" t="str" cm="1">
        <f t="array" ref="D40">_xlfn.IFS(G40="Active", "Retained", G40="Voluntarily Terminated", "Voluntary Exit", G40="Terminated for Cause", "Involuntary Exit")</f>
        <v>Retained</v>
      </c>
      <c r="F40" t="s">
        <v>51</v>
      </c>
      <c r="G40" t="s">
        <v>52</v>
      </c>
      <c r="H40" t="s">
        <v>53</v>
      </c>
      <c r="I40" t="s">
        <v>106</v>
      </c>
      <c r="J40">
        <v>18</v>
      </c>
      <c r="K40" t="s">
        <v>55</v>
      </c>
      <c r="L40" t="s">
        <v>65</v>
      </c>
      <c r="M40">
        <v>4.43</v>
      </c>
      <c r="N40">
        <v>3</v>
      </c>
    </row>
    <row r="41" spans="1:14">
      <c r="A41">
        <v>10082</v>
      </c>
      <c r="B41" t="s">
        <v>502</v>
      </c>
      <c r="C41" t="str" cm="1">
        <f t="array" ref="C41">_xlfn.IFS(L41="Exceeds", "Top Performer", L41="Fully Meets", "Solid Performer", L41="Needs Improvement", "Underperformer", L41="PIP", "At Risk")</f>
        <v>Solid Performer</v>
      </c>
      <c r="D41" t="str" cm="1">
        <f t="array" ref="D41">_xlfn.IFS(G41="Active", "Retained", G41="Voluntarily Terminated", "Voluntary Exit", G41="Terminated for Cause", "Involuntary Exit")</f>
        <v>Retained</v>
      </c>
      <c r="F41" t="s">
        <v>51</v>
      </c>
      <c r="G41" t="s">
        <v>52</v>
      </c>
      <c r="H41" t="s">
        <v>62</v>
      </c>
      <c r="I41" t="s">
        <v>63</v>
      </c>
      <c r="J41">
        <v>4</v>
      </c>
      <c r="K41" t="s">
        <v>55</v>
      </c>
      <c r="L41" t="s">
        <v>65</v>
      </c>
      <c r="M41">
        <v>5</v>
      </c>
      <c r="N41">
        <v>5</v>
      </c>
    </row>
    <row r="42" spans="1:14">
      <c r="A42">
        <v>10040</v>
      </c>
      <c r="B42" t="s">
        <v>503</v>
      </c>
      <c r="C42" t="str" cm="1">
        <f t="array" ref="C42">_xlfn.IFS(L42="Exceeds", "Top Performer", L42="Fully Meets", "Solid Performer", L42="Needs Improvement", "Underperformer", L42="PIP", "At Risk")</f>
        <v>Solid Performer</v>
      </c>
      <c r="D42" t="str" cm="1">
        <f t="array" ref="D42">_xlfn.IFS(G42="Active", "Retained", G42="Voluntarily Terminated", "Voluntary Exit", G42="Terminated for Cause", "Involuntary Exit")</f>
        <v>Retained</v>
      </c>
      <c r="F42" t="s">
        <v>51</v>
      </c>
      <c r="G42" t="s">
        <v>52</v>
      </c>
      <c r="H42" t="s">
        <v>148</v>
      </c>
      <c r="I42" t="s">
        <v>149</v>
      </c>
      <c r="J42">
        <v>17</v>
      </c>
      <c r="K42" t="s">
        <v>64</v>
      </c>
      <c r="L42" t="s">
        <v>65</v>
      </c>
      <c r="M42">
        <v>5</v>
      </c>
      <c r="N42">
        <v>5</v>
      </c>
    </row>
    <row r="43" spans="1:14">
      <c r="A43">
        <v>10067</v>
      </c>
      <c r="B43" t="s">
        <v>43</v>
      </c>
      <c r="C43" t="str" cm="1">
        <f t="array" ref="C43">_xlfn.IFS(L43="Exceeds", "Top Performer", L43="Fully Meets", "Solid Performer", L43="Needs Improvement", "Underperformer", L43="PIP", "At Risk")</f>
        <v>Solid Performer</v>
      </c>
      <c r="D43" t="str" cm="1">
        <f t="array" ref="D43">_xlfn.IFS(G43="Active", "Retained", G43="Voluntarily Terminated", "Voluntary Exit", G43="Terminated for Cause", "Involuntary Exit")</f>
        <v>Retained</v>
      </c>
      <c r="F43" t="s">
        <v>51</v>
      </c>
      <c r="G43" t="s">
        <v>52</v>
      </c>
      <c r="H43" t="s">
        <v>53</v>
      </c>
      <c r="I43" t="s">
        <v>54</v>
      </c>
      <c r="J43">
        <v>22</v>
      </c>
      <c r="K43" t="s">
        <v>77</v>
      </c>
      <c r="L43" t="s">
        <v>65</v>
      </c>
      <c r="M43">
        <v>5</v>
      </c>
      <c r="N43">
        <v>4</v>
      </c>
    </row>
    <row r="44" spans="1:14">
      <c r="A44">
        <v>10108</v>
      </c>
      <c r="B44" t="s">
        <v>502</v>
      </c>
      <c r="C44" t="str" cm="1">
        <f t="array" ref="C44">_xlfn.IFS(L44="Exceeds", "Top Performer", L44="Fully Meets", "Solid Performer", L44="Needs Improvement", "Underperformer", L44="PIP", "At Risk")</f>
        <v>Solid Performer</v>
      </c>
      <c r="D44" t="str" cm="1">
        <f t="array" ref="D44">_xlfn.IFS(G44="Active", "Retained", G44="Voluntarily Terminated", "Voluntary Exit", G44="Terminated for Cause", "Involuntary Exit")</f>
        <v>Retained</v>
      </c>
      <c r="F44" t="s">
        <v>51</v>
      </c>
      <c r="G44" t="s">
        <v>52</v>
      </c>
      <c r="H44" t="s">
        <v>62</v>
      </c>
      <c r="I44" t="s">
        <v>154</v>
      </c>
      <c r="J44">
        <v>5</v>
      </c>
      <c r="K44" t="s">
        <v>64</v>
      </c>
      <c r="L44" t="s">
        <v>65</v>
      </c>
      <c r="M44">
        <v>4.5</v>
      </c>
      <c r="N44">
        <v>5</v>
      </c>
    </row>
    <row r="45" spans="1:14">
      <c r="A45">
        <v>10210</v>
      </c>
      <c r="B45" t="s">
        <v>43</v>
      </c>
      <c r="C45" t="str" cm="1">
        <f t="array" ref="C45">_xlfn.IFS(L45="Exceeds", "Top Performer", L45="Fully Meets", "Solid Performer", L45="Needs Improvement", "Underperformer", L45="PIP", "At Risk")</f>
        <v>Solid Performer</v>
      </c>
      <c r="D45" t="str" cm="1">
        <f t="array" ref="D45">_xlfn.IFS(G45="Active", "Retained", G45="Voluntarily Terminated", "Voluntary Exit", G45="Terminated for Cause", "Involuntary Exit")</f>
        <v>Retained</v>
      </c>
      <c r="F45" t="s">
        <v>51</v>
      </c>
      <c r="G45" t="s">
        <v>52</v>
      </c>
      <c r="H45" t="s">
        <v>53</v>
      </c>
      <c r="I45" t="s">
        <v>72</v>
      </c>
      <c r="J45">
        <v>16</v>
      </c>
      <c r="K45" t="s">
        <v>64</v>
      </c>
      <c r="L45" t="s">
        <v>65</v>
      </c>
      <c r="M45">
        <v>3.3</v>
      </c>
      <c r="N45">
        <v>4</v>
      </c>
    </row>
    <row r="46" spans="1:14">
      <c r="A46">
        <v>10154</v>
      </c>
      <c r="B46" t="s">
        <v>43</v>
      </c>
      <c r="C46" t="str" cm="1">
        <f t="array" ref="C46">_xlfn.IFS(L46="Exceeds", "Top Performer", L46="Fully Meets", "Solid Performer", L46="Needs Improvement", "Underperformer", L46="PIP", "At Risk")</f>
        <v>Solid Performer</v>
      </c>
      <c r="D46" t="str" cm="1">
        <f t="array" ref="D46">_xlfn.IFS(G46="Active", "Retained", G46="Voluntarily Terminated", "Voluntary Exit", G46="Terminated for Cause", "Involuntary Exit")</f>
        <v>Retained</v>
      </c>
      <c r="F46" t="s">
        <v>51</v>
      </c>
      <c r="G46" t="s">
        <v>52</v>
      </c>
      <c r="H46" t="s">
        <v>53</v>
      </c>
      <c r="I46" t="s">
        <v>76</v>
      </c>
      <c r="K46" t="s">
        <v>55</v>
      </c>
      <c r="L46" t="s">
        <v>65</v>
      </c>
      <c r="M46">
        <v>3.8</v>
      </c>
      <c r="N46">
        <v>5</v>
      </c>
    </row>
    <row r="47" spans="1:14">
      <c r="A47">
        <v>10200</v>
      </c>
      <c r="B47" t="s">
        <v>43</v>
      </c>
      <c r="C47" t="str" cm="1">
        <f t="array" ref="C47">_xlfn.IFS(L47="Exceeds", "Top Performer", L47="Fully Meets", "Solid Performer", L47="Needs Improvement", "Underperformer", L47="PIP", "At Risk")</f>
        <v>Solid Performer</v>
      </c>
      <c r="D47" t="str" cm="1">
        <f t="array" ref="D47">_xlfn.IFS(G47="Active", "Retained", G47="Voluntarily Terminated", "Voluntary Exit", G47="Terminated for Cause", "Involuntary Exit")</f>
        <v>Retained</v>
      </c>
      <c r="F47" t="s">
        <v>51</v>
      </c>
      <c r="G47" t="s">
        <v>52</v>
      </c>
      <c r="H47" t="s">
        <v>148</v>
      </c>
      <c r="I47" t="s">
        <v>167</v>
      </c>
      <c r="J47">
        <v>21</v>
      </c>
      <c r="K47" t="s">
        <v>87</v>
      </c>
      <c r="L47" t="s">
        <v>65</v>
      </c>
      <c r="M47">
        <v>3</v>
      </c>
      <c r="N47">
        <v>5</v>
      </c>
    </row>
    <row r="48" spans="1:14">
      <c r="A48">
        <v>10240</v>
      </c>
      <c r="B48" t="s">
        <v>43</v>
      </c>
      <c r="C48" t="str" cm="1">
        <f t="array" ref="C48">_xlfn.IFS(L48="Exceeds", "Top Performer", L48="Fully Meets", "Solid Performer", L48="Needs Improvement", "Underperformer", L48="PIP", "At Risk")</f>
        <v>Solid Performer</v>
      </c>
      <c r="D48" t="str" cm="1">
        <f t="array" ref="D48">_xlfn.IFS(G48="Active", "Retained", G48="Voluntarily Terminated", "Voluntary Exit", G48="Terminated for Cause", "Involuntary Exit")</f>
        <v>Voluntary Exit</v>
      </c>
      <c r="E48" s="1">
        <v>42323</v>
      </c>
      <c r="F48" t="s">
        <v>169</v>
      </c>
      <c r="G48" t="s">
        <v>61</v>
      </c>
      <c r="H48" t="s">
        <v>53</v>
      </c>
      <c r="I48" t="s">
        <v>79</v>
      </c>
      <c r="J48">
        <v>11</v>
      </c>
      <c r="K48" t="s">
        <v>64</v>
      </c>
      <c r="L48" t="s">
        <v>65</v>
      </c>
      <c r="M48">
        <v>4.3</v>
      </c>
      <c r="N48">
        <v>4</v>
      </c>
    </row>
    <row r="49" spans="1:14">
      <c r="A49">
        <v>10168</v>
      </c>
      <c r="B49" t="s">
        <v>43</v>
      </c>
      <c r="C49" t="str" cm="1">
        <f t="array" ref="C49">_xlfn.IFS(L49="Exceeds", "Top Performer", L49="Fully Meets", "Solid Performer", L49="Needs Improvement", "Underperformer", L49="PIP", "At Risk")</f>
        <v>Solid Performer</v>
      </c>
      <c r="D49" t="str" cm="1">
        <f t="array" ref="D49">_xlfn.IFS(G49="Active", "Retained", G49="Voluntarily Terminated", "Voluntary Exit", G49="Terminated for Cause", "Involuntary Exit")</f>
        <v>Retained</v>
      </c>
      <c r="F49" t="s">
        <v>51</v>
      </c>
      <c r="G49" t="s">
        <v>52</v>
      </c>
      <c r="H49" t="s">
        <v>53</v>
      </c>
      <c r="I49" t="s">
        <v>86</v>
      </c>
      <c r="J49">
        <v>19</v>
      </c>
      <c r="K49" t="s">
        <v>64</v>
      </c>
      <c r="L49" t="s">
        <v>65</v>
      </c>
      <c r="M49">
        <v>3.58</v>
      </c>
      <c r="N49">
        <v>5</v>
      </c>
    </row>
    <row r="50" spans="1:14">
      <c r="A50">
        <v>10220</v>
      </c>
      <c r="B50" t="s">
        <v>43</v>
      </c>
      <c r="C50" t="str" cm="1">
        <f t="array" ref="C50">_xlfn.IFS(L50="Exceeds", "Top Performer", L50="Fully Meets", "Solid Performer", L50="Needs Improvement", "Underperformer", L50="PIP", "At Risk")</f>
        <v>Solid Performer</v>
      </c>
      <c r="D50" t="str" cm="1">
        <f t="array" ref="D50">_xlfn.IFS(G50="Active", "Retained", G50="Voluntarily Terminated", "Voluntary Exit", G50="Terminated for Cause", "Involuntary Exit")</f>
        <v>Retained</v>
      </c>
      <c r="F50" t="s">
        <v>51</v>
      </c>
      <c r="G50" t="s">
        <v>52</v>
      </c>
      <c r="H50" t="s">
        <v>62</v>
      </c>
      <c r="I50" t="s">
        <v>173</v>
      </c>
      <c r="J50">
        <v>6</v>
      </c>
      <c r="K50" t="s">
        <v>64</v>
      </c>
      <c r="L50" t="s">
        <v>65</v>
      </c>
      <c r="M50">
        <v>4.7</v>
      </c>
      <c r="N50">
        <v>3</v>
      </c>
    </row>
    <row r="51" spans="1:14">
      <c r="A51">
        <v>10275</v>
      </c>
      <c r="B51" t="s">
        <v>43</v>
      </c>
      <c r="C51" t="str" cm="1">
        <f t="array" ref="C51">_xlfn.IFS(L51="Exceeds", "Top Performer", L51="Fully Meets", "Solid Performer", L51="Needs Improvement", "Underperformer", L51="PIP", "At Risk")</f>
        <v>Solid Performer</v>
      </c>
      <c r="D51" t="str" cm="1">
        <f t="array" ref="D51">_xlfn.IFS(G51="Active", "Retained", G51="Voluntarily Terminated", "Voluntary Exit", G51="Terminated for Cause", "Involuntary Exit")</f>
        <v>Voluntary Exit</v>
      </c>
      <c r="E51" s="1">
        <v>41281</v>
      </c>
      <c r="F51" t="s">
        <v>100</v>
      </c>
      <c r="G51" t="s">
        <v>61</v>
      </c>
      <c r="H51" t="s">
        <v>53</v>
      </c>
      <c r="I51" t="s">
        <v>90</v>
      </c>
      <c r="J51">
        <v>12</v>
      </c>
      <c r="K51" t="s">
        <v>77</v>
      </c>
      <c r="L51" t="s">
        <v>65</v>
      </c>
      <c r="M51">
        <v>4.2</v>
      </c>
      <c r="N51">
        <v>5</v>
      </c>
    </row>
    <row r="52" spans="1:14">
      <c r="A52">
        <v>10269</v>
      </c>
      <c r="B52" t="s">
        <v>43</v>
      </c>
      <c r="C52" t="str" cm="1">
        <f t="array" ref="C52">_xlfn.IFS(L52="Exceeds", "Top Performer", L52="Fully Meets", "Solid Performer", L52="Needs Improvement", "Underperformer", L52="PIP", "At Risk")</f>
        <v>Solid Performer</v>
      </c>
      <c r="D52" t="str" cm="1">
        <f t="array" ref="D52">_xlfn.IFS(G52="Active", "Retained", G52="Voluntarily Terminated", "Voluntary Exit", G52="Terminated for Cause", "Involuntary Exit")</f>
        <v>Voluntary Exit</v>
      </c>
      <c r="E52" s="1">
        <v>40812</v>
      </c>
      <c r="F52" t="s">
        <v>60</v>
      </c>
      <c r="G52" t="s">
        <v>61</v>
      </c>
      <c r="H52" t="s">
        <v>53</v>
      </c>
      <c r="I52" t="s">
        <v>98</v>
      </c>
      <c r="J52">
        <v>14</v>
      </c>
      <c r="K52" t="s">
        <v>64</v>
      </c>
      <c r="L52" t="s">
        <v>65</v>
      </c>
      <c r="M52">
        <v>4.2</v>
      </c>
      <c r="N52">
        <v>4</v>
      </c>
    </row>
    <row r="53" spans="1:14">
      <c r="A53">
        <v>10029</v>
      </c>
      <c r="B53" t="s">
        <v>43</v>
      </c>
      <c r="C53" t="str" cm="1">
        <f t="array" ref="C53">_xlfn.IFS(L53="Exceeds", "Top Performer", L53="Fully Meets", "Solid Performer", L53="Needs Improvement", "Underperformer", L53="PIP", "At Risk")</f>
        <v>Top Performer</v>
      </c>
      <c r="D53" t="str" cm="1">
        <f t="array" ref="D53">_xlfn.IFS(G53="Active", "Retained", G53="Voluntarily Terminated", "Voluntary Exit", G53="Terminated for Cause", "Involuntary Exit")</f>
        <v>Retained</v>
      </c>
      <c r="F53" t="s">
        <v>51</v>
      </c>
      <c r="G53" t="s">
        <v>52</v>
      </c>
      <c r="H53" t="s">
        <v>53</v>
      </c>
      <c r="I53" t="s">
        <v>90</v>
      </c>
      <c r="J53">
        <v>12</v>
      </c>
      <c r="K53" t="s">
        <v>87</v>
      </c>
      <c r="L53" t="s">
        <v>56</v>
      </c>
      <c r="M53">
        <v>4.0999999999999996</v>
      </c>
      <c r="N53">
        <v>4</v>
      </c>
    </row>
    <row r="54" spans="1:14">
      <c r="A54">
        <v>10261</v>
      </c>
      <c r="B54" t="s">
        <v>43</v>
      </c>
      <c r="C54" t="str" cm="1">
        <f t="array" ref="C54">_xlfn.IFS(L54="Exceeds", "Top Performer", L54="Fully Meets", "Solid Performer", L54="Needs Improvement", "Underperformer", L54="PIP", "At Risk")</f>
        <v>Solid Performer</v>
      </c>
      <c r="D54" t="str" cm="1">
        <f t="array" ref="D54">_xlfn.IFS(G54="Active", "Retained", G54="Voluntarily Terminated", "Voluntary Exit", G54="Terminated for Cause", "Involuntary Exit")</f>
        <v>Retained</v>
      </c>
      <c r="F54" t="s">
        <v>51</v>
      </c>
      <c r="G54" t="s">
        <v>52</v>
      </c>
      <c r="H54" t="s">
        <v>53</v>
      </c>
      <c r="I54" t="s">
        <v>98</v>
      </c>
      <c r="J54">
        <v>14</v>
      </c>
      <c r="K54" t="s">
        <v>87</v>
      </c>
      <c r="L54" t="s">
        <v>65</v>
      </c>
      <c r="M54">
        <v>4.4000000000000004</v>
      </c>
      <c r="N54">
        <v>5</v>
      </c>
    </row>
    <row r="55" spans="1:14">
      <c r="A55">
        <v>10292</v>
      </c>
      <c r="B55" t="s">
        <v>43</v>
      </c>
      <c r="C55" t="str" cm="1">
        <f t="array" ref="C55">_xlfn.IFS(L55="Exceeds", "Top Performer", L55="Fully Meets", "Solid Performer", L55="Needs Improvement", "Underperformer", L55="PIP", "At Risk")</f>
        <v>Underperformer</v>
      </c>
      <c r="D55" t="str" cm="1">
        <f t="array" ref="D55">_xlfn.IFS(G55="Active", "Retained", G55="Voluntarily Terminated", "Voluntary Exit", G55="Terminated for Cause", "Involuntary Exit")</f>
        <v>Involuntary Exit</v>
      </c>
      <c r="E55" s="1">
        <v>42636</v>
      </c>
      <c r="F55" t="s">
        <v>117</v>
      </c>
      <c r="G55" t="s">
        <v>111</v>
      </c>
      <c r="H55" t="s">
        <v>53</v>
      </c>
      <c r="I55" t="s">
        <v>70</v>
      </c>
      <c r="J55">
        <v>20</v>
      </c>
      <c r="K55" t="s">
        <v>55</v>
      </c>
      <c r="L55" t="s">
        <v>125</v>
      </c>
      <c r="M55">
        <v>2</v>
      </c>
      <c r="N55">
        <v>3</v>
      </c>
    </row>
    <row r="56" spans="1:14">
      <c r="A56">
        <v>10282</v>
      </c>
      <c r="B56" t="s">
        <v>43</v>
      </c>
      <c r="C56" t="str" cm="1">
        <f t="array" ref="C56">_xlfn.IFS(L56="Exceeds", "Top Performer", L56="Fully Meets", "Solid Performer", L56="Needs Improvement", "Underperformer", L56="PIP", "At Risk")</f>
        <v>Underperformer</v>
      </c>
      <c r="D56" t="str" cm="1">
        <f t="array" ref="D56">_xlfn.IFS(G56="Active", "Retained", G56="Voluntarily Terminated", "Voluntary Exit", G56="Terminated for Cause", "Involuntary Exit")</f>
        <v>Retained</v>
      </c>
      <c r="F56" t="s">
        <v>51</v>
      </c>
      <c r="G56" t="s">
        <v>52</v>
      </c>
      <c r="H56" t="s">
        <v>53</v>
      </c>
      <c r="I56" t="s">
        <v>138</v>
      </c>
      <c r="J56">
        <v>2</v>
      </c>
      <c r="K56" t="s">
        <v>124</v>
      </c>
      <c r="L56" t="s">
        <v>125</v>
      </c>
      <c r="M56">
        <v>4.13</v>
      </c>
      <c r="N56">
        <v>2</v>
      </c>
    </row>
    <row r="57" spans="1:14">
      <c r="A57">
        <v>10019</v>
      </c>
      <c r="B57" t="s">
        <v>502</v>
      </c>
      <c r="C57" t="str" cm="1">
        <f t="array" ref="C57">_xlfn.IFS(L57="Exceeds", "Top Performer", L57="Fully Meets", "Solid Performer", L57="Needs Improvement", "Underperformer", L57="PIP", "At Risk")</f>
        <v>Top Performer</v>
      </c>
      <c r="D57" t="str" cm="1">
        <f t="array" ref="D57">_xlfn.IFS(G57="Active", "Retained", G57="Voluntarily Terminated", "Voluntary Exit", G57="Terminated for Cause", "Involuntary Exit")</f>
        <v>Retained</v>
      </c>
      <c r="F57" t="s">
        <v>51</v>
      </c>
      <c r="G57" t="s">
        <v>52</v>
      </c>
      <c r="H57" t="s">
        <v>53</v>
      </c>
      <c r="I57" t="s">
        <v>138</v>
      </c>
      <c r="J57">
        <v>2</v>
      </c>
      <c r="K57" t="s">
        <v>64</v>
      </c>
      <c r="L57" t="s">
        <v>56</v>
      </c>
      <c r="M57">
        <v>3.7</v>
      </c>
      <c r="N57">
        <v>5</v>
      </c>
    </row>
    <row r="58" spans="1:14">
      <c r="A58">
        <v>10094</v>
      </c>
      <c r="B58" t="s">
        <v>43</v>
      </c>
      <c r="C58" t="str" cm="1">
        <f t="array" ref="C58">_xlfn.IFS(L58="Exceeds", "Top Performer", L58="Fully Meets", "Solid Performer", L58="Needs Improvement", "Underperformer", L58="PIP", "At Risk")</f>
        <v>Solid Performer</v>
      </c>
      <c r="D58" t="str" cm="1">
        <f t="array" ref="D58">_xlfn.IFS(G58="Active", "Retained", G58="Voluntarily Terminated", "Voluntary Exit", G58="Terminated for Cause", "Involuntary Exit")</f>
        <v>Retained</v>
      </c>
      <c r="F58" t="s">
        <v>51</v>
      </c>
      <c r="G58" t="s">
        <v>52</v>
      </c>
      <c r="H58" t="s">
        <v>53</v>
      </c>
      <c r="I58" t="s">
        <v>106</v>
      </c>
      <c r="J58">
        <v>18</v>
      </c>
      <c r="K58" t="s">
        <v>64</v>
      </c>
      <c r="L58" t="s">
        <v>65</v>
      </c>
      <c r="M58">
        <v>4.7300000000000004</v>
      </c>
      <c r="N58">
        <v>5</v>
      </c>
    </row>
    <row r="59" spans="1:14">
      <c r="A59">
        <v>10193</v>
      </c>
      <c r="B59" t="s">
        <v>503</v>
      </c>
      <c r="C59" t="str" cm="1">
        <f t="array" ref="C59">_xlfn.IFS(L59="Exceeds", "Top Performer", L59="Fully Meets", "Solid Performer", L59="Needs Improvement", "Underperformer", L59="PIP", "At Risk")</f>
        <v>Solid Performer</v>
      </c>
      <c r="D59" t="str" cm="1">
        <f t="array" ref="D59">_xlfn.IFS(G59="Active", "Retained", G59="Voluntarily Terminated", "Voluntary Exit", G59="Terminated for Cause", "Involuntary Exit")</f>
        <v>Retained</v>
      </c>
      <c r="F59" t="s">
        <v>51</v>
      </c>
      <c r="G59" t="s">
        <v>52</v>
      </c>
      <c r="H59" t="s">
        <v>62</v>
      </c>
      <c r="I59" t="s">
        <v>63</v>
      </c>
      <c r="J59">
        <v>4</v>
      </c>
      <c r="K59" t="s">
        <v>64</v>
      </c>
      <c r="L59" t="s">
        <v>65</v>
      </c>
      <c r="M59">
        <v>3.04</v>
      </c>
      <c r="N59">
        <v>3</v>
      </c>
    </row>
    <row r="60" spans="1:14">
      <c r="A60">
        <v>10132</v>
      </c>
      <c r="B60" t="s">
        <v>43</v>
      </c>
      <c r="C60" t="str" cm="1">
        <f t="array" ref="C60">_xlfn.IFS(L60="Exceeds", "Top Performer", L60="Fully Meets", "Solid Performer", L60="Needs Improvement", "Underperformer", L60="PIP", "At Risk")</f>
        <v>Solid Performer</v>
      </c>
      <c r="D60" t="str" cm="1">
        <f t="array" ref="D60">_xlfn.IFS(G60="Active", "Retained", G60="Voluntarily Terminated", "Voluntary Exit", G60="Terminated for Cause", "Involuntary Exit")</f>
        <v>Retained</v>
      </c>
      <c r="F60" t="s">
        <v>51</v>
      </c>
      <c r="G60" t="s">
        <v>52</v>
      </c>
      <c r="H60" t="s">
        <v>53</v>
      </c>
      <c r="I60" t="s">
        <v>54</v>
      </c>
      <c r="J60">
        <v>22</v>
      </c>
      <c r="K60" t="s">
        <v>55</v>
      </c>
      <c r="L60" t="s">
        <v>65</v>
      </c>
      <c r="M60">
        <v>4.12</v>
      </c>
      <c r="N60">
        <v>5</v>
      </c>
    </row>
    <row r="61" spans="1:14">
      <c r="A61">
        <v>10083</v>
      </c>
      <c r="B61" t="s">
        <v>503</v>
      </c>
      <c r="C61" t="str" cm="1">
        <f t="array" ref="C61">_xlfn.IFS(L61="Exceeds", "Top Performer", L61="Fully Meets", "Solid Performer", L61="Needs Improvement", "Underperformer", L61="PIP", "At Risk")</f>
        <v>Solid Performer</v>
      </c>
      <c r="D61" t="str" cm="1">
        <f t="array" ref="D61">_xlfn.IFS(G61="Active", "Retained", G61="Voluntarily Terminated", "Voluntary Exit", G61="Terminated for Cause", "Involuntary Exit")</f>
        <v>Retained</v>
      </c>
      <c r="F61" t="s">
        <v>51</v>
      </c>
      <c r="G61" t="s">
        <v>52</v>
      </c>
      <c r="H61" t="s">
        <v>62</v>
      </c>
      <c r="I61" t="s">
        <v>94</v>
      </c>
      <c r="J61">
        <v>7</v>
      </c>
      <c r="K61" t="s">
        <v>87</v>
      </c>
      <c r="L61" t="s">
        <v>65</v>
      </c>
      <c r="M61">
        <v>5</v>
      </c>
      <c r="N61">
        <v>3</v>
      </c>
    </row>
    <row r="62" spans="1:14">
      <c r="A62">
        <v>10099</v>
      </c>
      <c r="B62" t="s">
        <v>43</v>
      </c>
      <c r="C62" t="str" cm="1">
        <f t="array" ref="C62">_xlfn.IFS(L62="Exceeds", "Top Performer", L62="Fully Meets", "Solid Performer", L62="Needs Improvement", "Underperformer", L62="PIP", "At Risk")</f>
        <v>Solid Performer</v>
      </c>
      <c r="D62" t="str" cm="1">
        <f t="array" ref="D62">_xlfn.IFS(G62="Active", "Retained", G62="Voluntarily Terminated", "Voluntary Exit", G62="Terminated for Cause", "Involuntary Exit")</f>
        <v>Retained</v>
      </c>
      <c r="F62" t="s">
        <v>51</v>
      </c>
      <c r="G62" t="s">
        <v>52</v>
      </c>
      <c r="H62" t="s">
        <v>148</v>
      </c>
      <c r="I62" t="s">
        <v>189</v>
      </c>
      <c r="J62">
        <v>15</v>
      </c>
      <c r="K62" t="s">
        <v>64</v>
      </c>
      <c r="L62" t="s">
        <v>65</v>
      </c>
      <c r="M62">
        <v>4.62</v>
      </c>
      <c r="N62">
        <v>4</v>
      </c>
    </row>
    <row r="63" spans="1:14">
      <c r="A63">
        <v>10212</v>
      </c>
      <c r="B63" t="s">
        <v>503</v>
      </c>
      <c r="C63" t="str" cm="1">
        <f t="array" ref="C63">_xlfn.IFS(L63="Exceeds", "Top Performer", L63="Fully Meets", "Solid Performer", L63="Needs Improvement", "Underperformer", L63="PIP", "At Risk")</f>
        <v>Solid Performer</v>
      </c>
      <c r="D63" t="str" cm="1">
        <f t="array" ref="D63">_xlfn.IFS(G63="Active", "Retained", G63="Voluntarily Terminated", "Voluntary Exit", G63="Terminated for Cause", "Involuntary Exit")</f>
        <v>Retained</v>
      </c>
      <c r="F63" t="s">
        <v>51</v>
      </c>
      <c r="G63" t="s">
        <v>52</v>
      </c>
      <c r="H63" t="s">
        <v>62</v>
      </c>
      <c r="I63" t="s">
        <v>94</v>
      </c>
      <c r="J63">
        <v>7</v>
      </c>
      <c r="K63" t="s">
        <v>55</v>
      </c>
      <c r="L63" t="s">
        <v>65</v>
      </c>
      <c r="M63">
        <v>3.1</v>
      </c>
      <c r="N63">
        <v>5</v>
      </c>
    </row>
    <row r="64" spans="1:14">
      <c r="A64">
        <v>10056</v>
      </c>
      <c r="B64" t="s">
        <v>43</v>
      </c>
      <c r="C64" t="str" cm="1">
        <f t="array" ref="C64">_xlfn.IFS(L64="Exceeds", "Top Performer", L64="Fully Meets", "Solid Performer", L64="Needs Improvement", "Underperformer", L64="PIP", "At Risk")</f>
        <v>Solid Performer</v>
      </c>
      <c r="D64" t="str" cm="1">
        <f t="array" ref="D64">_xlfn.IFS(G64="Active", "Retained", G64="Voluntarily Terminated", "Voluntary Exit", G64="Terminated for Cause", "Involuntary Exit")</f>
        <v>Retained</v>
      </c>
      <c r="F64" t="s">
        <v>51</v>
      </c>
      <c r="G64" t="s">
        <v>52</v>
      </c>
      <c r="H64" t="s">
        <v>53</v>
      </c>
      <c r="I64" t="s">
        <v>72</v>
      </c>
      <c r="J64">
        <v>16</v>
      </c>
      <c r="K64" t="s">
        <v>64</v>
      </c>
      <c r="L64" t="s">
        <v>65</v>
      </c>
      <c r="M64">
        <v>5</v>
      </c>
      <c r="N64">
        <v>3</v>
      </c>
    </row>
    <row r="65" spans="1:14">
      <c r="A65">
        <v>10143</v>
      </c>
      <c r="B65" t="s">
        <v>43</v>
      </c>
      <c r="C65" t="str" cm="1">
        <f t="array" ref="C65">_xlfn.IFS(L65="Exceeds", "Top Performer", L65="Fully Meets", "Solid Performer", L65="Needs Improvement", "Underperformer", L65="PIP", "At Risk")</f>
        <v>Solid Performer</v>
      </c>
      <c r="D65" t="str" cm="1">
        <f t="array" ref="D65">_xlfn.IFS(G65="Active", "Retained", G65="Voluntarily Terminated", "Voluntary Exit", G65="Terminated for Cause", "Involuntary Exit")</f>
        <v>Retained</v>
      </c>
      <c r="F65" t="s">
        <v>51</v>
      </c>
      <c r="G65" t="s">
        <v>52</v>
      </c>
      <c r="H65" t="s">
        <v>53</v>
      </c>
      <c r="I65" t="s">
        <v>70</v>
      </c>
      <c r="J65">
        <v>20</v>
      </c>
      <c r="K65" t="s">
        <v>55</v>
      </c>
      <c r="L65" t="s">
        <v>65</v>
      </c>
      <c r="M65">
        <v>3.96</v>
      </c>
      <c r="N65">
        <v>4</v>
      </c>
    </row>
    <row r="66" spans="1:14">
      <c r="A66">
        <v>10311</v>
      </c>
      <c r="B66" t="s">
        <v>43</v>
      </c>
      <c r="C66" t="str" cm="1">
        <f t="array" ref="C66">_xlfn.IFS(L66="Exceeds", "Top Performer", L66="Fully Meets", "Solid Performer", L66="Needs Improvement", "Underperformer", L66="PIP", "At Risk")</f>
        <v>Solid Performer</v>
      </c>
      <c r="D66" t="str" cm="1">
        <f t="array" ref="D66">_xlfn.IFS(G66="Active", "Retained", G66="Voluntarily Terminated", "Voluntary Exit", G66="Terminated for Cause", "Involuntary Exit")</f>
        <v>Retained</v>
      </c>
      <c r="F66" t="s">
        <v>51</v>
      </c>
      <c r="G66" t="s">
        <v>52</v>
      </c>
      <c r="H66" t="s">
        <v>53</v>
      </c>
      <c r="I66" t="s">
        <v>90</v>
      </c>
      <c r="J66">
        <v>12</v>
      </c>
      <c r="K66" t="s">
        <v>64</v>
      </c>
      <c r="L66" t="s">
        <v>65</v>
      </c>
      <c r="M66">
        <v>4.3</v>
      </c>
      <c r="N66">
        <v>4</v>
      </c>
    </row>
    <row r="67" spans="1:14">
      <c r="A67">
        <v>10070</v>
      </c>
      <c r="B67" t="s">
        <v>43</v>
      </c>
      <c r="C67" t="str" cm="1">
        <f t="array" ref="C67">_xlfn.IFS(L67="Exceeds", "Top Performer", L67="Fully Meets", "Solid Performer", L67="Needs Improvement", "Underperformer", L67="PIP", "At Risk")</f>
        <v>Solid Performer</v>
      </c>
      <c r="D67" t="str" cm="1">
        <f t="array" ref="D67">_xlfn.IFS(G67="Active", "Retained", G67="Voluntarily Terminated", "Voluntary Exit", G67="Terminated for Cause", "Involuntary Exit")</f>
        <v>Voluntary Exit</v>
      </c>
      <c r="E67" s="1">
        <v>42529</v>
      </c>
      <c r="F67" t="s">
        <v>100</v>
      </c>
      <c r="G67" t="s">
        <v>61</v>
      </c>
      <c r="H67" t="s">
        <v>53</v>
      </c>
      <c r="I67" t="s">
        <v>76</v>
      </c>
      <c r="J67">
        <v>39</v>
      </c>
      <c r="K67" t="s">
        <v>64</v>
      </c>
      <c r="L67" t="s">
        <v>65</v>
      </c>
      <c r="M67">
        <v>5</v>
      </c>
      <c r="N67">
        <v>4</v>
      </c>
    </row>
    <row r="68" spans="1:14">
      <c r="A68">
        <v>10155</v>
      </c>
      <c r="B68" t="s">
        <v>502</v>
      </c>
      <c r="C68" t="str" cm="1">
        <f t="array" ref="C68">_xlfn.IFS(L68="Exceeds", "Top Performer", L68="Fully Meets", "Solid Performer", L68="Needs Improvement", "Underperformer", L68="PIP", "At Risk")</f>
        <v>Solid Performer</v>
      </c>
      <c r="D68" t="str" cm="1">
        <f t="array" ref="D68">_xlfn.IFS(G68="Active", "Retained", G68="Voluntarily Terminated", "Voluntary Exit", G68="Terminated for Cause", "Involuntary Exit")</f>
        <v>Retained</v>
      </c>
      <c r="F68" t="s">
        <v>51</v>
      </c>
      <c r="G68" t="s">
        <v>52</v>
      </c>
      <c r="H68" t="s">
        <v>82</v>
      </c>
      <c r="I68" t="s">
        <v>83</v>
      </c>
      <c r="J68">
        <v>10</v>
      </c>
      <c r="K68" t="s">
        <v>124</v>
      </c>
      <c r="L68" t="s">
        <v>65</v>
      </c>
      <c r="M68">
        <v>3.79</v>
      </c>
      <c r="N68">
        <v>5</v>
      </c>
    </row>
    <row r="69" spans="1:14">
      <c r="A69">
        <v>10306</v>
      </c>
      <c r="B69" t="s">
        <v>43</v>
      </c>
      <c r="C69" t="str" cm="1">
        <f t="array" ref="C69">_xlfn.IFS(L69="Exceeds", "Top Performer", L69="Fully Meets", "Solid Performer", L69="Needs Improvement", "Underperformer", L69="PIP", "At Risk")</f>
        <v>At Risk</v>
      </c>
      <c r="D69" t="str" cm="1">
        <f t="array" ref="D69">_xlfn.IFS(G69="Active", "Retained", G69="Voluntarily Terminated", "Voluntary Exit", G69="Terminated for Cause", "Involuntary Exit")</f>
        <v>Retained</v>
      </c>
      <c r="F69" t="s">
        <v>51</v>
      </c>
      <c r="G69" t="s">
        <v>52</v>
      </c>
      <c r="H69" t="s">
        <v>148</v>
      </c>
      <c r="I69" t="s">
        <v>149</v>
      </c>
      <c r="J69">
        <v>17</v>
      </c>
      <c r="K69" t="s">
        <v>64</v>
      </c>
      <c r="L69" t="s">
        <v>198</v>
      </c>
      <c r="M69">
        <v>1.93</v>
      </c>
      <c r="N69">
        <v>3</v>
      </c>
    </row>
    <row r="70" spans="1:14">
      <c r="A70">
        <v>10100</v>
      </c>
      <c r="B70" t="s">
        <v>43</v>
      </c>
      <c r="C70" t="str" cm="1">
        <f t="array" ref="C70">_xlfn.IFS(L70="Exceeds", "Top Performer", L70="Fully Meets", "Solid Performer", L70="Needs Improvement", "Underperformer", L70="PIP", "At Risk")</f>
        <v>Solid Performer</v>
      </c>
      <c r="D70" t="str" cm="1">
        <f t="array" ref="D70">_xlfn.IFS(G70="Active", "Retained", G70="Voluntarily Terminated", "Voluntary Exit", G70="Terminated for Cause", "Involuntary Exit")</f>
        <v>Voluntary Exit</v>
      </c>
      <c r="E70" s="1">
        <v>42312</v>
      </c>
      <c r="F70" t="s">
        <v>200</v>
      </c>
      <c r="G70" t="s">
        <v>61</v>
      </c>
      <c r="H70" t="s">
        <v>53</v>
      </c>
      <c r="I70" t="s">
        <v>106</v>
      </c>
      <c r="J70">
        <v>18</v>
      </c>
      <c r="K70" t="s">
        <v>77</v>
      </c>
      <c r="L70" t="s">
        <v>65</v>
      </c>
      <c r="M70">
        <v>4.62</v>
      </c>
      <c r="N70">
        <v>5</v>
      </c>
    </row>
    <row r="71" spans="1:14">
      <c r="A71">
        <v>10310</v>
      </c>
      <c r="B71" t="s">
        <v>43</v>
      </c>
      <c r="C71" t="str" cm="1">
        <f t="array" ref="C71">_xlfn.IFS(L71="Exceeds", "Top Performer", L71="Fully Meets", "Solid Performer", L71="Needs Improvement", "Underperformer", L71="PIP", "At Risk")</f>
        <v>At Risk</v>
      </c>
      <c r="D71" t="str" cm="1">
        <f t="array" ref="D71">_xlfn.IFS(G71="Active", "Retained", G71="Voluntarily Terminated", "Voluntary Exit", G71="Terminated for Cause", "Involuntary Exit")</f>
        <v>Retained</v>
      </c>
      <c r="F71" t="s">
        <v>51</v>
      </c>
      <c r="G71" t="s">
        <v>52</v>
      </c>
      <c r="H71" t="s">
        <v>53</v>
      </c>
      <c r="I71" t="s">
        <v>79</v>
      </c>
      <c r="J71">
        <v>11</v>
      </c>
      <c r="K71" t="s">
        <v>64</v>
      </c>
      <c r="L71" t="s">
        <v>198</v>
      </c>
      <c r="M71">
        <v>1.1200000000000001</v>
      </c>
      <c r="N71">
        <v>2</v>
      </c>
    </row>
    <row r="72" spans="1:14">
      <c r="A72">
        <v>10197</v>
      </c>
      <c r="B72" t="s">
        <v>503</v>
      </c>
      <c r="C72" t="str" cm="1">
        <f t="array" ref="C72">_xlfn.IFS(L72="Exceeds", "Top Performer", L72="Fully Meets", "Solid Performer", L72="Needs Improvement", "Underperformer", L72="PIP", "At Risk")</f>
        <v>Solid Performer</v>
      </c>
      <c r="D72" t="str" cm="1">
        <f t="array" ref="D72">_xlfn.IFS(G72="Active", "Retained", G72="Voluntarily Terminated", "Voluntary Exit", G72="Terminated for Cause", "Involuntary Exit")</f>
        <v>Retained</v>
      </c>
      <c r="F72" t="s">
        <v>51</v>
      </c>
      <c r="G72" t="s">
        <v>52</v>
      </c>
      <c r="H72" t="s">
        <v>62</v>
      </c>
      <c r="I72" t="s">
        <v>204</v>
      </c>
      <c r="J72">
        <v>13</v>
      </c>
      <c r="K72" t="s">
        <v>64</v>
      </c>
      <c r="L72" t="s">
        <v>65</v>
      </c>
      <c r="M72">
        <v>3.01</v>
      </c>
      <c r="N72">
        <v>5</v>
      </c>
    </row>
    <row r="73" spans="1:14">
      <c r="A73">
        <v>10276</v>
      </c>
      <c r="B73" t="s">
        <v>43</v>
      </c>
      <c r="C73" t="str" cm="1">
        <f t="array" ref="C73">_xlfn.IFS(L73="Exceeds", "Top Performer", L73="Fully Meets", "Solid Performer", L73="Needs Improvement", "Underperformer", L73="PIP", "At Risk")</f>
        <v>Solid Performer</v>
      </c>
      <c r="D73" t="str" cm="1">
        <f t="array" ref="D73">_xlfn.IFS(G73="Active", "Retained", G73="Voluntarily Terminated", "Voluntary Exit", G73="Terminated for Cause", "Involuntary Exit")</f>
        <v>Retained</v>
      </c>
      <c r="F73" t="s">
        <v>51</v>
      </c>
      <c r="G73" t="s">
        <v>52</v>
      </c>
      <c r="H73" t="s">
        <v>53</v>
      </c>
      <c r="I73" t="s">
        <v>86</v>
      </c>
      <c r="J73">
        <v>19</v>
      </c>
      <c r="K73" t="s">
        <v>64</v>
      </c>
      <c r="L73" t="s">
        <v>65</v>
      </c>
      <c r="M73">
        <v>4.3</v>
      </c>
      <c r="N73">
        <v>4</v>
      </c>
    </row>
    <row r="74" spans="1:14">
      <c r="A74">
        <v>10304</v>
      </c>
      <c r="B74" t="s">
        <v>43</v>
      </c>
      <c r="C74" t="str" cm="1">
        <f t="array" ref="C74">_xlfn.IFS(L74="Exceeds", "Top Performer", L74="Fully Meets", "Solid Performer", L74="Needs Improvement", "Underperformer", L74="PIP", "At Risk")</f>
        <v>At Risk</v>
      </c>
      <c r="D74" t="str" cm="1">
        <f t="array" ref="D74">_xlfn.IFS(G74="Active", "Retained", G74="Voluntarily Terminated", "Voluntary Exit", G74="Terminated for Cause", "Involuntary Exit")</f>
        <v>Retained</v>
      </c>
      <c r="F74" t="s">
        <v>51</v>
      </c>
      <c r="G74" t="s">
        <v>52</v>
      </c>
      <c r="H74" t="s">
        <v>148</v>
      </c>
      <c r="I74" t="s">
        <v>149</v>
      </c>
      <c r="J74">
        <v>17</v>
      </c>
      <c r="K74" t="s">
        <v>208</v>
      </c>
      <c r="L74" t="s">
        <v>198</v>
      </c>
      <c r="M74">
        <v>2.2999999999999998</v>
      </c>
      <c r="N74">
        <v>1</v>
      </c>
    </row>
    <row r="75" spans="1:14">
      <c r="A75">
        <v>10284</v>
      </c>
      <c r="B75" t="s">
        <v>43</v>
      </c>
      <c r="C75" t="str" cm="1">
        <f t="array" ref="C75">_xlfn.IFS(L75="Exceeds", "Top Performer", L75="Fully Meets", "Solid Performer", L75="Needs Improvement", "Underperformer", L75="PIP", "At Risk")</f>
        <v>Underperformer</v>
      </c>
      <c r="D75" t="str" cm="1">
        <f t="array" ref="D75">_xlfn.IFS(G75="Active", "Retained", G75="Voluntarily Terminated", "Voluntary Exit", G75="Terminated for Cause", "Involuntary Exit")</f>
        <v>Retained</v>
      </c>
      <c r="F75" t="s">
        <v>51</v>
      </c>
      <c r="G75" t="s">
        <v>52</v>
      </c>
      <c r="H75" t="s">
        <v>53</v>
      </c>
      <c r="I75" t="s">
        <v>90</v>
      </c>
      <c r="J75">
        <v>12</v>
      </c>
      <c r="K75" t="s">
        <v>64</v>
      </c>
      <c r="L75" t="s">
        <v>125</v>
      </c>
      <c r="M75">
        <v>3.88</v>
      </c>
      <c r="N75">
        <v>4</v>
      </c>
    </row>
    <row r="76" spans="1:14">
      <c r="A76">
        <v>10207</v>
      </c>
      <c r="B76" t="s">
        <v>43</v>
      </c>
      <c r="C76" t="str" cm="1">
        <f t="array" ref="C76">_xlfn.IFS(L76="Exceeds", "Top Performer", L76="Fully Meets", "Solid Performer", L76="Needs Improvement", "Underperformer", L76="PIP", "At Risk")</f>
        <v>Solid Performer</v>
      </c>
      <c r="D76" t="str" cm="1">
        <f t="array" ref="D76">_xlfn.IFS(G76="Active", "Retained", G76="Voluntarily Terminated", "Voluntary Exit", G76="Terminated for Cause", "Involuntary Exit")</f>
        <v>Retained</v>
      </c>
      <c r="F76" t="s">
        <v>51</v>
      </c>
      <c r="G76" t="s">
        <v>52</v>
      </c>
      <c r="H76" t="s">
        <v>53</v>
      </c>
      <c r="I76" t="s">
        <v>98</v>
      </c>
      <c r="J76">
        <v>14</v>
      </c>
      <c r="K76" t="s">
        <v>124</v>
      </c>
      <c r="L76" t="s">
        <v>65</v>
      </c>
      <c r="M76">
        <v>3.4</v>
      </c>
      <c r="N76">
        <v>5</v>
      </c>
    </row>
    <row r="77" spans="1:14">
      <c r="A77">
        <v>10133</v>
      </c>
      <c r="B77" t="s">
        <v>503</v>
      </c>
      <c r="C77" t="str" cm="1">
        <f t="array" ref="C77">_xlfn.IFS(L77="Exceeds", "Top Performer", L77="Fully Meets", "Solid Performer", L77="Needs Improvement", "Underperformer", L77="PIP", "At Risk")</f>
        <v>Solid Performer</v>
      </c>
      <c r="D77" t="str" cm="1">
        <f t="array" ref="D77">_xlfn.IFS(G77="Active", "Retained", G77="Voluntarily Terminated", "Voluntary Exit", G77="Terminated for Cause", "Involuntary Exit")</f>
        <v>Retained</v>
      </c>
      <c r="F77" t="s">
        <v>51</v>
      </c>
      <c r="G77" t="s">
        <v>52</v>
      </c>
      <c r="H77" t="s">
        <v>62</v>
      </c>
      <c r="I77" t="s">
        <v>94</v>
      </c>
      <c r="J77">
        <v>7</v>
      </c>
      <c r="K77" t="s">
        <v>87</v>
      </c>
      <c r="L77" t="s">
        <v>65</v>
      </c>
      <c r="M77">
        <v>4.1100000000000003</v>
      </c>
      <c r="N77">
        <v>4</v>
      </c>
    </row>
    <row r="78" spans="1:14">
      <c r="A78">
        <v>10028</v>
      </c>
      <c r="B78" t="s">
        <v>502</v>
      </c>
      <c r="C78" t="str" cm="1">
        <f t="array" ref="C78">_xlfn.IFS(L78="Exceeds", "Top Performer", L78="Fully Meets", "Solid Performer", L78="Needs Improvement", "Underperformer", L78="PIP", "At Risk")</f>
        <v>Top Performer</v>
      </c>
      <c r="D78" t="str" cm="1">
        <f t="array" ref="D78">_xlfn.IFS(G78="Active", "Retained", G78="Voluntarily Terminated", "Voluntary Exit", G78="Terminated for Cause", "Involuntary Exit")</f>
        <v>Retained</v>
      </c>
      <c r="F78" t="s">
        <v>51</v>
      </c>
      <c r="G78" t="s">
        <v>52</v>
      </c>
      <c r="H78" t="s">
        <v>62</v>
      </c>
      <c r="I78" t="s">
        <v>154</v>
      </c>
      <c r="J78">
        <v>5</v>
      </c>
      <c r="K78" t="s">
        <v>64</v>
      </c>
      <c r="L78" t="s">
        <v>56</v>
      </c>
      <c r="M78">
        <v>4.3</v>
      </c>
      <c r="N78">
        <v>5</v>
      </c>
    </row>
    <row r="79" spans="1:14">
      <c r="A79">
        <v>10006</v>
      </c>
      <c r="B79" t="s">
        <v>503</v>
      </c>
      <c r="C79" t="str" cm="1">
        <f t="array" ref="C79">_xlfn.IFS(L79="Exceeds", "Top Performer", L79="Fully Meets", "Solid Performer", L79="Needs Improvement", "Underperformer", L79="PIP", "At Risk")</f>
        <v>Top Performer</v>
      </c>
      <c r="D79" t="str" cm="1">
        <f t="array" ref="D79">_xlfn.IFS(G79="Active", "Retained", G79="Voluntarily Terminated", "Voluntary Exit", G79="Terminated for Cause", "Involuntary Exit")</f>
        <v>Retained</v>
      </c>
      <c r="F79" t="s">
        <v>51</v>
      </c>
      <c r="G79" t="s">
        <v>52</v>
      </c>
      <c r="H79" t="s">
        <v>148</v>
      </c>
      <c r="I79" t="s">
        <v>167</v>
      </c>
      <c r="J79">
        <v>21</v>
      </c>
      <c r="K79" t="s">
        <v>64</v>
      </c>
      <c r="L79" t="s">
        <v>56</v>
      </c>
      <c r="M79">
        <v>4.7699999999999996</v>
      </c>
      <c r="N79">
        <v>5</v>
      </c>
    </row>
    <row r="80" spans="1:14">
      <c r="A80">
        <v>10105</v>
      </c>
      <c r="B80" t="s">
        <v>503</v>
      </c>
      <c r="C80" t="str" cm="1">
        <f t="array" ref="C80">_xlfn.IFS(L80="Exceeds", "Top Performer", L80="Fully Meets", "Solid Performer", L80="Needs Improvement", "Underperformer", L80="PIP", "At Risk")</f>
        <v>Solid Performer</v>
      </c>
      <c r="D80" t="str" cm="1">
        <f t="array" ref="D80">_xlfn.IFS(G80="Active", "Retained", G80="Voluntarily Terminated", "Voluntary Exit", G80="Terminated for Cause", "Involuntary Exit")</f>
        <v>Retained</v>
      </c>
      <c r="F80" t="s">
        <v>51</v>
      </c>
      <c r="G80" t="s">
        <v>52</v>
      </c>
      <c r="H80" t="s">
        <v>53</v>
      </c>
      <c r="I80" t="s">
        <v>138</v>
      </c>
      <c r="J80">
        <v>2</v>
      </c>
      <c r="K80" t="s">
        <v>77</v>
      </c>
      <c r="L80" t="s">
        <v>65</v>
      </c>
      <c r="M80">
        <v>4.5199999999999996</v>
      </c>
      <c r="N80">
        <v>4</v>
      </c>
    </row>
    <row r="81" spans="1:14">
      <c r="A81">
        <v>10211</v>
      </c>
      <c r="B81" t="s">
        <v>43</v>
      </c>
      <c r="C81" t="str" cm="1">
        <f t="array" ref="C81">_xlfn.IFS(L81="Exceeds", "Top Performer", L81="Fully Meets", "Solid Performer", L81="Needs Improvement", "Underperformer", L81="PIP", "At Risk")</f>
        <v>Solid Performer</v>
      </c>
      <c r="D81" t="str" cm="1">
        <f t="array" ref="D81">_xlfn.IFS(G81="Active", "Retained", G81="Voluntarily Terminated", "Voluntary Exit", G81="Terminated for Cause", "Involuntary Exit")</f>
        <v>Retained</v>
      </c>
      <c r="F81" t="s">
        <v>51</v>
      </c>
      <c r="G81" t="s">
        <v>52</v>
      </c>
      <c r="H81" t="s">
        <v>53</v>
      </c>
      <c r="I81" t="s">
        <v>86</v>
      </c>
      <c r="J81">
        <v>19</v>
      </c>
      <c r="K81" t="s">
        <v>77</v>
      </c>
      <c r="L81" t="s">
        <v>65</v>
      </c>
      <c r="M81">
        <v>2.9</v>
      </c>
      <c r="N81">
        <v>3</v>
      </c>
    </row>
    <row r="82" spans="1:14">
      <c r="A82">
        <v>10064</v>
      </c>
      <c r="B82" t="s">
        <v>43</v>
      </c>
      <c r="C82" t="str" cm="1">
        <f t="array" ref="C82">_xlfn.IFS(L82="Exceeds", "Top Performer", L82="Fully Meets", "Solid Performer", L82="Needs Improvement", "Underperformer", L82="PIP", "At Risk")</f>
        <v>Solid Performer</v>
      </c>
      <c r="D82" t="str" cm="1">
        <f t="array" ref="D82">_xlfn.IFS(G82="Active", "Retained", G82="Voluntarily Terminated", "Voluntary Exit", G82="Terminated for Cause", "Involuntary Exit")</f>
        <v>Voluntary Exit</v>
      </c>
      <c r="E82" s="1">
        <v>42892</v>
      </c>
      <c r="F82" t="s">
        <v>219</v>
      </c>
      <c r="G82" t="s">
        <v>61</v>
      </c>
      <c r="H82" t="s">
        <v>53</v>
      </c>
      <c r="I82" t="s">
        <v>70</v>
      </c>
      <c r="J82">
        <v>20</v>
      </c>
      <c r="K82" t="s">
        <v>77</v>
      </c>
      <c r="L82" t="s">
        <v>65</v>
      </c>
      <c r="M82">
        <v>5</v>
      </c>
      <c r="N82">
        <v>3</v>
      </c>
    </row>
    <row r="83" spans="1:14">
      <c r="A83">
        <v>10247</v>
      </c>
      <c r="B83" t="s">
        <v>43</v>
      </c>
      <c r="C83" t="str" cm="1">
        <f t="array" ref="C83">_xlfn.IFS(L83="Exceeds", "Top Performer", L83="Fully Meets", "Solid Performer", L83="Needs Improvement", "Underperformer", L83="PIP", "At Risk")</f>
        <v>Solid Performer</v>
      </c>
      <c r="D83" t="str" cm="1">
        <f t="array" ref="D83">_xlfn.IFS(G83="Active", "Retained", G83="Voluntarily Terminated", "Voluntary Exit", G83="Terminated for Cause", "Involuntary Exit")</f>
        <v>Retained</v>
      </c>
      <c r="F83" t="s">
        <v>51</v>
      </c>
      <c r="G83" t="s">
        <v>52</v>
      </c>
      <c r="H83" t="s">
        <v>53</v>
      </c>
      <c r="I83" t="s">
        <v>106</v>
      </c>
      <c r="J83">
        <v>18</v>
      </c>
      <c r="K83" t="s">
        <v>55</v>
      </c>
      <c r="L83" t="s">
        <v>65</v>
      </c>
      <c r="M83">
        <v>4.7</v>
      </c>
      <c r="N83">
        <v>5</v>
      </c>
    </row>
    <row r="84" spans="1:14">
      <c r="A84">
        <v>10235</v>
      </c>
      <c r="B84" t="s">
        <v>43</v>
      </c>
      <c r="C84" t="str" cm="1">
        <f t="array" ref="C84">_xlfn.IFS(L84="Exceeds", "Top Performer", L84="Fully Meets", "Solid Performer", L84="Needs Improvement", "Underperformer", L84="PIP", "At Risk")</f>
        <v>Solid Performer</v>
      </c>
      <c r="D84" t="str" cm="1">
        <f t="array" ref="D84">_xlfn.IFS(G84="Active", "Retained", G84="Voluntarily Terminated", "Voluntary Exit", G84="Terminated for Cause", "Involuntary Exit")</f>
        <v>Retained</v>
      </c>
      <c r="F84" t="s">
        <v>51</v>
      </c>
      <c r="G84" t="s">
        <v>52</v>
      </c>
      <c r="H84" t="s">
        <v>53</v>
      </c>
      <c r="I84" t="s">
        <v>106</v>
      </c>
      <c r="J84">
        <v>18</v>
      </c>
      <c r="K84" t="s">
        <v>87</v>
      </c>
      <c r="L84" t="s">
        <v>65</v>
      </c>
      <c r="M84">
        <v>4.2</v>
      </c>
      <c r="N84">
        <v>3</v>
      </c>
    </row>
    <row r="85" spans="1:14">
      <c r="A85">
        <v>10299</v>
      </c>
      <c r="B85" t="s">
        <v>43</v>
      </c>
      <c r="C85" t="str" cm="1">
        <f t="array" ref="C85">_xlfn.IFS(L85="Exceeds", "Top Performer", L85="Fully Meets", "Solid Performer", L85="Needs Improvement", "Underperformer", L85="PIP", "At Risk")</f>
        <v>At Risk</v>
      </c>
      <c r="D85" t="str" cm="1">
        <f t="array" ref="D85">_xlfn.IFS(G85="Active", "Retained", G85="Voluntarily Terminated", "Voluntary Exit", G85="Terminated for Cause", "Involuntary Exit")</f>
        <v>Retained</v>
      </c>
      <c r="F85" t="s">
        <v>51</v>
      </c>
      <c r="G85" t="s">
        <v>52</v>
      </c>
      <c r="H85" t="s">
        <v>53</v>
      </c>
      <c r="I85" t="s">
        <v>54</v>
      </c>
      <c r="J85">
        <v>22</v>
      </c>
      <c r="K85" t="s">
        <v>64</v>
      </c>
      <c r="L85" t="s">
        <v>198</v>
      </c>
      <c r="M85">
        <v>3</v>
      </c>
      <c r="N85">
        <v>1</v>
      </c>
    </row>
    <row r="86" spans="1:14">
      <c r="A86">
        <v>10280</v>
      </c>
      <c r="B86" t="s">
        <v>43</v>
      </c>
      <c r="C86" t="str" cm="1">
        <f t="array" ref="C86">_xlfn.IFS(L86="Exceeds", "Top Performer", L86="Fully Meets", "Solid Performer", L86="Needs Improvement", "Underperformer", L86="PIP", "At Risk")</f>
        <v>Underperformer</v>
      </c>
      <c r="D86" t="str" cm="1">
        <f t="array" ref="D86">_xlfn.IFS(G86="Active", "Retained", G86="Voluntarily Terminated", "Voluntary Exit", G86="Terminated for Cause", "Involuntary Exit")</f>
        <v>Involuntary Exit</v>
      </c>
      <c r="E86" s="1">
        <v>43370</v>
      </c>
      <c r="F86" t="s">
        <v>110</v>
      </c>
      <c r="G86" t="s">
        <v>111</v>
      </c>
      <c r="H86" t="s">
        <v>53</v>
      </c>
      <c r="I86" t="s">
        <v>54</v>
      </c>
      <c r="J86">
        <v>22</v>
      </c>
      <c r="K86" t="s">
        <v>77</v>
      </c>
      <c r="L86" t="s">
        <v>125</v>
      </c>
      <c r="M86">
        <v>5</v>
      </c>
      <c r="N86">
        <v>4</v>
      </c>
    </row>
    <row r="87" spans="1:14">
      <c r="A87">
        <v>10296</v>
      </c>
      <c r="B87" t="s">
        <v>43</v>
      </c>
      <c r="C87" t="str" cm="1">
        <f t="array" ref="C87">_xlfn.IFS(L87="Exceeds", "Top Performer", L87="Fully Meets", "Solid Performer", L87="Needs Improvement", "Underperformer", L87="PIP", "At Risk")</f>
        <v>Underperformer</v>
      </c>
      <c r="D87" t="str" cm="1">
        <f t="array" ref="D87">_xlfn.IFS(G87="Active", "Retained", G87="Voluntarily Terminated", "Voluntary Exit", G87="Terminated for Cause", "Involuntary Exit")</f>
        <v>Involuntary Exit</v>
      </c>
      <c r="E87" s="1">
        <v>43156</v>
      </c>
      <c r="F87" t="s">
        <v>225</v>
      </c>
      <c r="G87" t="s">
        <v>111</v>
      </c>
      <c r="H87" t="s">
        <v>53</v>
      </c>
      <c r="I87" t="s">
        <v>72</v>
      </c>
      <c r="J87">
        <v>16</v>
      </c>
      <c r="K87" t="s">
        <v>77</v>
      </c>
      <c r="L87" t="s">
        <v>125</v>
      </c>
      <c r="M87">
        <v>2.2999999999999998</v>
      </c>
      <c r="N87">
        <v>3</v>
      </c>
    </row>
    <row r="88" spans="1:14">
      <c r="A88">
        <v>10290</v>
      </c>
      <c r="B88" t="s">
        <v>503</v>
      </c>
      <c r="C88" t="str" cm="1">
        <f t="array" ref="C88">_xlfn.IFS(L88="Exceeds", "Top Performer", L88="Fully Meets", "Solid Performer", L88="Needs Improvement", "Underperformer", L88="PIP", "At Risk")</f>
        <v>Underperformer</v>
      </c>
      <c r="D88" t="str" cm="1">
        <f t="array" ref="D88">_xlfn.IFS(G88="Active", "Retained", G88="Voluntarily Terminated", "Voluntary Exit", G88="Terminated for Cause", "Involuntary Exit")</f>
        <v>Involuntary Exit</v>
      </c>
      <c r="E88" s="1">
        <v>41430</v>
      </c>
      <c r="F88" t="s">
        <v>110</v>
      </c>
      <c r="G88" t="s">
        <v>111</v>
      </c>
      <c r="H88" t="s">
        <v>82</v>
      </c>
      <c r="I88" t="s">
        <v>83</v>
      </c>
      <c r="J88">
        <v>10</v>
      </c>
      <c r="K88" t="s">
        <v>64</v>
      </c>
      <c r="L88" t="s">
        <v>125</v>
      </c>
      <c r="M88">
        <v>2.1</v>
      </c>
      <c r="N88">
        <v>5</v>
      </c>
    </row>
    <row r="89" spans="1:14">
      <c r="A89">
        <v>10263</v>
      </c>
      <c r="B89" t="s">
        <v>503</v>
      </c>
      <c r="C89" t="str" cm="1">
        <f t="array" ref="C89">_xlfn.IFS(L89="Exceeds", "Top Performer", L89="Fully Meets", "Solid Performer", L89="Needs Improvement", "Underperformer", L89="PIP", "At Risk")</f>
        <v>Solid Performer</v>
      </c>
      <c r="D89" t="str" cm="1">
        <f t="array" ref="D89">_xlfn.IFS(G89="Active", "Retained", G89="Voluntarily Terminated", "Voluntary Exit", G89="Terminated for Cause", "Involuntary Exit")</f>
        <v>Retained</v>
      </c>
      <c r="F89" t="s">
        <v>51</v>
      </c>
      <c r="G89" t="s">
        <v>52</v>
      </c>
      <c r="H89" t="s">
        <v>53</v>
      </c>
      <c r="I89" t="s">
        <v>72</v>
      </c>
      <c r="J89">
        <v>16</v>
      </c>
      <c r="K89" t="s">
        <v>55</v>
      </c>
      <c r="L89" t="s">
        <v>65</v>
      </c>
      <c r="M89">
        <v>4.4000000000000004</v>
      </c>
      <c r="N89">
        <v>5</v>
      </c>
    </row>
    <row r="90" spans="1:14">
      <c r="A90">
        <v>10136</v>
      </c>
      <c r="B90" t="s">
        <v>43</v>
      </c>
      <c r="C90" t="str" cm="1">
        <f t="array" ref="C90">_xlfn.IFS(L90="Exceeds", "Top Performer", L90="Fully Meets", "Solid Performer", L90="Needs Improvement", "Underperformer", L90="PIP", "At Risk")</f>
        <v>Solid Performer</v>
      </c>
      <c r="D90" t="str" cm="1">
        <f t="array" ref="D90">_xlfn.IFS(G90="Active", "Retained", G90="Voluntarily Terminated", "Voluntary Exit", G90="Terminated for Cause", "Involuntary Exit")</f>
        <v>Retained</v>
      </c>
      <c r="F90" t="s">
        <v>51</v>
      </c>
      <c r="G90" t="s">
        <v>52</v>
      </c>
      <c r="H90" t="s">
        <v>53</v>
      </c>
      <c r="I90" t="s">
        <v>76</v>
      </c>
      <c r="K90" t="s">
        <v>55</v>
      </c>
      <c r="L90" t="s">
        <v>65</v>
      </c>
      <c r="M90">
        <v>4</v>
      </c>
      <c r="N90">
        <v>4</v>
      </c>
    </row>
    <row r="91" spans="1:14">
      <c r="A91">
        <v>10189</v>
      </c>
      <c r="B91" t="s">
        <v>43</v>
      </c>
      <c r="C91" t="str" cm="1">
        <f t="array" ref="C91">_xlfn.IFS(L91="Exceeds", "Top Performer", L91="Fully Meets", "Solid Performer", L91="Needs Improvement", "Underperformer", L91="PIP", "At Risk")</f>
        <v>Solid Performer</v>
      </c>
      <c r="D91" t="str" cm="1">
        <f t="array" ref="D91">_xlfn.IFS(G91="Active", "Retained", G91="Voluntarily Terminated", "Voluntary Exit", G91="Terminated for Cause", "Involuntary Exit")</f>
        <v>Voluntary Exit</v>
      </c>
      <c r="E91" s="1">
        <v>42507</v>
      </c>
      <c r="F91" t="s">
        <v>219</v>
      </c>
      <c r="G91" t="s">
        <v>61</v>
      </c>
      <c r="H91" t="s">
        <v>53</v>
      </c>
      <c r="I91" t="s">
        <v>76</v>
      </c>
      <c r="J91">
        <v>39</v>
      </c>
      <c r="K91" t="s">
        <v>77</v>
      </c>
      <c r="L91" t="s">
        <v>65</v>
      </c>
      <c r="M91">
        <v>3.13</v>
      </c>
      <c r="N91">
        <v>3</v>
      </c>
    </row>
    <row r="92" spans="1:14">
      <c r="A92">
        <v>10308</v>
      </c>
      <c r="B92" t="s">
        <v>43</v>
      </c>
      <c r="C92" t="str" cm="1">
        <f t="array" ref="C92">_xlfn.IFS(L92="Exceeds", "Top Performer", L92="Fully Meets", "Solid Performer", L92="Needs Improvement", "Underperformer", L92="PIP", "At Risk")</f>
        <v>At Risk</v>
      </c>
      <c r="D92" t="str" cm="1">
        <f t="array" ref="D92">_xlfn.IFS(G92="Active", "Retained", G92="Voluntarily Terminated", "Voluntary Exit", G92="Terminated for Cause", "Involuntary Exit")</f>
        <v>Retained</v>
      </c>
      <c r="F92" t="s">
        <v>51</v>
      </c>
      <c r="G92" t="s">
        <v>52</v>
      </c>
      <c r="H92" t="s">
        <v>53</v>
      </c>
      <c r="I92" t="s">
        <v>79</v>
      </c>
      <c r="J92">
        <v>11</v>
      </c>
      <c r="K92" t="s">
        <v>64</v>
      </c>
      <c r="L92" t="s">
        <v>198</v>
      </c>
      <c r="M92">
        <v>1.56</v>
      </c>
      <c r="N92">
        <v>5</v>
      </c>
    </row>
    <row r="93" spans="1:14">
      <c r="A93">
        <v>10309</v>
      </c>
      <c r="B93" t="s">
        <v>43</v>
      </c>
      <c r="C93" t="str" cm="1">
        <f t="array" ref="C93">_xlfn.IFS(L93="Exceeds", "Top Performer", L93="Fully Meets", "Solid Performer", L93="Needs Improvement", "Underperformer", L93="PIP", "At Risk")</f>
        <v>At Risk</v>
      </c>
      <c r="D93" t="str" cm="1">
        <f t="array" ref="D93">_xlfn.IFS(G93="Active", "Retained", G93="Voluntarily Terminated", "Voluntary Exit", G93="Terminated for Cause", "Involuntary Exit")</f>
        <v>Retained</v>
      </c>
      <c r="F93" t="s">
        <v>51</v>
      </c>
      <c r="G93" t="s">
        <v>52</v>
      </c>
      <c r="H93" t="s">
        <v>62</v>
      </c>
      <c r="I93" t="s">
        <v>94</v>
      </c>
      <c r="J93">
        <v>7</v>
      </c>
      <c r="K93" t="s">
        <v>55</v>
      </c>
      <c r="L93" t="s">
        <v>198</v>
      </c>
      <c r="M93">
        <v>1.2</v>
      </c>
      <c r="N93">
        <v>3</v>
      </c>
    </row>
    <row r="94" spans="1:14">
      <c r="A94">
        <v>10049</v>
      </c>
      <c r="B94" t="s">
        <v>43</v>
      </c>
      <c r="C94" t="str" cm="1">
        <f t="array" ref="C94">_xlfn.IFS(L94="Exceeds", "Top Performer", L94="Fully Meets", "Solid Performer", L94="Needs Improvement", "Underperformer", L94="PIP", "At Risk")</f>
        <v>Solid Performer</v>
      </c>
      <c r="D94" t="str" cm="1">
        <f t="array" ref="D94">_xlfn.IFS(G94="Active", "Retained", G94="Voluntarily Terminated", "Voluntary Exit", G94="Terminated for Cause", "Involuntary Exit")</f>
        <v>Retained</v>
      </c>
      <c r="F94" t="s">
        <v>51</v>
      </c>
      <c r="G94" t="s">
        <v>52</v>
      </c>
      <c r="H94" t="s">
        <v>53</v>
      </c>
      <c r="I94" t="s">
        <v>90</v>
      </c>
      <c r="J94">
        <v>12</v>
      </c>
      <c r="K94" t="s">
        <v>77</v>
      </c>
      <c r="L94" t="s">
        <v>65</v>
      </c>
      <c r="M94">
        <v>5</v>
      </c>
      <c r="N94">
        <v>5</v>
      </c>
    </row>
    <row r="95" spans="1:14">
      <c r="A95">
        <v>10093</v>
      </c>
      <c r="B95" t="s">
        <v>503</v>
      </c>
      <c r="C95" t="str" cm="1">
        <f t="array" ref="C95">_xlfn.IFS(L95="Exceeds", "Top Performer", L95="Fully Meets", "Solid Performer", L95="Needs Improvement", "Underperformer", L95="PIP", "At Risk")</f>
        <v>Solid Performer</v>
      </c>
      <c r="D95" t="str" cm="1">
        <f t="array" ref="D95">_xlfn.IFS(G95="Active", "Retained", G95="Voluntarily Terminated", "Voluntary Exit", G95="Terminated for Cause", "Involuntary Exit")</f>
        <v>Voluntary Exit</v>
      </c>
      <c r="E95" s="1">
        <v>41449</v>
      </c>
      <c r="F95" t="s">
        <v>69</v>
      </c>
      <c r="G95" t="s">
        <v>61</v>
      </c>
      <c r="H95" t="s">
        <v>53</v>
      </c>
      <c r="I95" t="s">
        <v>79</v>
      </c>
      <c r="J95">
        <v>11</v>
      </c>
      <c r="K95" t="s">
        <v>77</v>
      </c>
      <c r="L95" t="s">
        <v>65</v>
      </c>
      <c r="M95">
        <v>4.76</v>
      </c>
      <c r="N95">
        <v>5</v>
      </c>
    </row>
    <row r="96" spans="1:14">
      <c r="A96">
        <v>10163</v>
      </c>
      <c r="B96" t="s">
        <v>43</v>
      </c>
      <c r="C96" t="str" cm="1">
        <f t="array" ref="C96">_xlfn.IFS(L96="Exceeds", "Top Performer", L96="Fully Meets", "Solid Performer", L96="Needs Improvement", "Underperformer", L96="PIP", "At Risk")</f>
        <v>Solid Performer</v>
      </c>
      <c r="D96" t="str" cm="1">
        <f t="array" ref="D96">_xlfn.IFS(G96="Active", "Retained", G96="Voluntarily Terminated", "Voluntary Exit", G96="Terminated for Cause", "Involuntary Exit")</f>
        <v>Voluntary Exit</v>
      </c>
      <c r="E96" s="1">
        <v>41283</v>
      </c>
      <c r="F96" t="s">
        <v>60</v>
      </c>
      <c r="G96" t="s">
        <v>61</v>
      </c>
      <c r="H96" t="s">
        <v>53</v>
      </c>
      <c r="I96" t="s">
        <v>86</v>
      </c>
      <c r="J96">
        <v>19</v>
      </c>
      <c r="K96" t="s">
        <v>77</v>
      </c>
      <c r="L96" t="s">
        <v>65</v>
      </c>
      <c r="M96">
        <v>3.66</v>
      </c>
      <c r="N96">
        <v>3</v>
      </c>
    </row>
    <row r="97" spans="1:14">
      <c r="A97">
        <v>10305</v>
      </c>
      <c r="B97" t="s">
        <v>503</v>
      </c>
      <c r="C97" t="str" cm="1">
        <f t="array" ref="C97">_xlfn.IFS(L97="Exceeds", "Top Performer", L97="Fully Meets", "Solid Performer", L97="Needs Improvement", "Underperformer", L97="PIP", "At Risk")</f>
        <v>At Risk</v>
      </c>
      <c r="D97" t="str" cm="1">
        <f t="array" ref="D97">_xlfn.IFS(G97="Active", "Retained", G97="Voluntarily Terminated", "Voluntary Exit", G97="Terminated for Cause", "Involuntary Exit")</f>
        <v>Involuntary Exit</v>
      </c>
      <c r="E97" s="1">
        <v>43331</v>
      </c>
      <c r="F97" t="s">
        <v>237</v>
      </c>
      <c r="G97" t="s">
        <v>111</v>
      </c>
      <c r="H97" t="s">
        <v>148</v>
      </c>
      <c r="I97" t="s">
        <v>167</v>
      </c>
      <c r="J97">
        <v>21</v>
      </c>
      <c r="K97" t="s">
        <v>87</v>
      </c>
      <c r="L97" t="s">
        <v>198</v>
      </c>
      <c r="M97">
        <v>2</v>
      </c>
      <c r="N97">
        <v>5</v>
      </c>
    </row>
    <row r="98" spans="1:14">
      <c r="A98">
        <v>10015</v>
      </c>
      <c r="B98" t="s">
        <v>502</v>
      </c>
      <c r="C98" t="str" cm="1">
        <f t="array" ref="C98">_xlfn.IFS(L98="Exceeds", "Top Performer", L98="Fully Meets", "Solid Performer", L98="Needs Improvement", "Underperformer", L98="PIP", "At Risk")</f>
        <v>Top Performer</v>
      </c>
      <c r="D98" t="str" cm="1">
        <f t="array" ref="D98">_xlfn.IFS(G98="Active", "Retained", G98="Voluntarily Terminated", "Voluntary Exit", G98="Terminated for Cause", "Involuntary Exit")</f>
        <v>Retained</v>
      </c>
      <c r="F98" t="s">
        <v>51</v>
      </c>
      <c r="G98" t="s">
        <v>52</v>
      </c>
      <c r="H98" t="s">
        <v>62</v>
      </c>
      <c r="I98" t="s">
        <v>154</v>
      </c>
      <c r="J98">
        <v>5</v>
      </c>
      <c r="K98" t="s">
        <v>64</v>
      </c>
      <c r="L98" t="s">
        <v>56</v>
      </c>
      <c r="M98">
        <v>5</v>
      </c>
      <c r="N98">
        <v>5</v>
      </c>
    </row>
    <row r="99" spans="1:14">
      <c r="A99">
        <v>10080</v>
      </c>
      <c r="B99" t="s">
        <v>503</v>
      </c>
      <c r="C99" t="str" cm="1">
        <f t="array" ref="C99">_xlfn.IFS(L99="Exceeds", "Top Performer", L99="Fully Meets", "Solid Performer", L99="Needs Improvement", "Underperformer", L99="PIP", "At Risk")</f>
        <v>Solid Performer</v>
      </c>
      <c r="D99" t="str" cm="1">
        <f t="array" ref="D99">_xlfn.IFS(G99="Active", "Retained", G99="Voluntarily Terminated", "Voluntary Exit", G99="Terminated for Cause", "Involuntary Exit")</f>
        <v>Retained</v>
      </c>
      <c r="F99" t="s">
        <v>51</v>
      </c>
      <c r="G99" t="s">
        <v>52</v>
      </c>
      <c r="H99" t="s">
        <v>133</v>
      </c>
      <c r="I99" t="s">
        <v>242</v>
      </c>
      <c r="J99">
        <v>9</v>
      </c>
      <c r="K99" t="s">
        <v>243</v>
      </c>
      <c r="L99" t="s">
        <v>65</v>
      </c>
      <c r="M99">
        <v>5</v>
      </c>
      <c r="N99">
        <v>3</v>
      </c>
    </row>
    <row r="100" spans="1:14">
      <c r="A100">
        <v>10258</v>
      </c>
      <c r="B100" t="s">
        <v>43</v>
      </c>
      <c r="C100" t="str" cm="1">
        <f t="array" ref="C100">_xlfn.IFS(L100="Exceeds", "Top Performer", L100="Fully Meets", "Solid Performer", L100="Needs Improvement", "Underperformer", L100="PIP", "At Risk")</f>
        <v>Solid Performer</v>
      </c>
      <c r="D100" t="str" cm="1">
        <f t="array" ref="D100">_xlfn.IFS(G100="Active", "Retained", G100="Voluntarily Terminated", "Voluntary Exit", G100="Terminated for Cause", "Involuntary Exit")</f>
        <v>Retained</v>
      </c>
      <c r="F100" t="s">
        <v>51</v>
      </c>
      <c r="G100" t="s">
        <v>52</v>
      </c>
      <c r="H100" t="s">
        <v>148</v>
      </c>
      <c r="I100" t="s">
        <v>167</v>
      </c>
      <c r="J100">
        <v>21</v>
      </c>
      <c r="K100" t="s">
        <v>124</v>
      </c>
      <c r="L100" t="s">
        <v>65</v>
      </c>
      <c r="M100">
        <v>4.3</v>
      </c>
      <c r="N100">
        <v>3</v>
      </c>
    </row>
    <row r="101" spans="1:14">
      <c r="A101">
        <v>10273</v>
      </c>
      <c r="B101" t="s">
        <v>43</v>
      </c>
      <c r="C101" t="str" cm="1">
        <f t="array" ref="C101">_xlfn.IFS(L101="Exceeds", "Top Performer", L101="Fully Meets", "Solid Performer", L101="Needs Improvement", "Underperformer", L101="PIP", "At Risk")</f>
        <v>Solid Performer</v>
      </c>
      <c r="D101" t="str" cm="1">
        <f t="array" ref="D101">_xlfn.IFS(G101="Active", "Retained", G101="Voluntarily Terminated", "Voluntary Exit", G101="Terminated for Cause", "Involuntary Exit")</f>
        <v>Retained</v>
      </c>
      <c r="F101" t="s">
        <v>51</v>
      </c>
      <c r="G101" t="s">
        <v>52</v>
      </c>
      <c r="H101" t="s">
        <v>62</v>
      </c>
      <c r="I101" t="s">
        <v>173</v>
      </c>
      <c r="J101">
        <v>6</v>
      </c>
      <c r="K101" t="s">
        <v>55</v>
      </c>
      <c r="L101" t="s">
        <v>65</v>
      </c>
      <c r="M101">
        <v>4.7</v>
      </c>
      <c r="N101">
        <v>4</v>
      </c>
    </row>
    <row r="102" spans="1:14">
      <c r="A102">
        <v>10111</v>
      </c>
      <c r="B102" t="s">
        <v>43</v>
      </c>
      <c r="C102" t="str" cm="1">
        <f t="array" ref="C102">_xlfn.IFS(L102="Exceeds", "Top Performer", L102="Fully Meets", "Solid Performer", L102="Needs Improvement", "Underperformer", L102="PIP", "At Risk")</f>
        <v>Solid Performer</v>
      </c>
      <c r="D102" t="str" cm="1">
        <f t="array" ref="D102">_xlfn.IFS(G102="Active", "Retained", G102="Voluntarily Terminated", "Voluntary Exit", G102="Terminated for Cause", "Involuntary Exit")</f>
        <v>Retained</v>
      </c>
      <c r="F102" t="s">
        <v>51</v>
      </c>
      <c r="G102" t="s">
        <v>52</v>
      </c>
      <c r="H102" t="s">
        <v>53</v>
      </c>
      <c r="I102" t="s">
        <v>98</v>
      </c>
      <c r="J102">
        <v>14</v>
      </c>
      <c r="K102" t="s">
        <v>87</v>
      </c>
      <c r="L102" t="s">
        <v>65</v>
      </c>
      <c r="M102">
        <v>4.5</v>
      </c>
      <c r="N102">
        <v>3</v>
      </c>
    </row>
    <row r="103" spans="1:14">
      <c r="A103">
        <v>10257</v>
      </c>
      <c r="B103" t="s">
        <v>43</v>
      </c>
      <c r="C103" t="str" cm="1">
        <f t="array" ref="C103">_xlfn.IFS(L103="Exceeds", "Top Performer", L103="Fully Meets", "Solid Performer", L103="Needs Improvement", "Underperformer", L103="PIP", "At Risk")</f>
        <v>Solid Performer</v>
      </c>
      <c r="D103" t="str" cm="1">
        <f t="array" ref="D103">_xlfn.IFS(G103="Active", "Retained", G103="Voluntarily Terminated", "Voluntary Exit", G103="Terminated for Cause", "Involuntary Exit")</f>
        <v>Retained</v>
      </c>
      <c r="F103" t="s">
        <v>51</v>
      </c>
      <c r="G103" t="s">
        <v>52</v>
      </c>
      <c r="H103" t="s">
        <v>53</v>
      </c>
      <c r="I103" t="s">
        <v>106</v>
      </c>
      <c r="J103">
        <v>18</v>
      </c>
      <c r="K103" t="s">
        <v>55</v>
      </c>
      <c r="L103" t="s">
        <v>65</v>
      </c>
      <c r="M103">
        <v>4.2</v>
      </c>
      <c r="N103">
        <v>4</v>
      </c>
    </row>
    <row r="104" spans="1:14">
      <c r="A104">
        <v>10159</v>
      </c>
      <c r="B104" t="s">
        <v>43</v>
      </c>
      <c r="C104" t="str" cm="1">
        <f t="array" ref="C104">_xlfn.IFS(L104="Exceeds", "Top Performer", L104="Fully Meets", "Solid Performer", L104="Needs Improvement", "Underperformer", L104="PIP", "At Risk")</f>
        <v>Solid Performer</v>
      </c>
      <c r="D104" t="str" cm="1">
        <f t="array" ref="D104">_xlfn.IFS(G104="Active", "Retained", G104="Voluntarily Terminated", "Voluntary Exit", G104="Terminated for Cause", "Involuntary Exit")</f>
        <v>Retained</v>
      </c>
      <c r="F104" t="s">
        <v>51</v>
      </c>
      <c r="G104" t="s">
        <v>52</v>
      </c>
      <c r="H104" t="s">
        <v>53</v>
      </c>
      <c r="I104" t="s">
        <v>54</v>
      </c>
      <c r="J104">
        <v>22</v>
      </c>
      <c r="K104" t="s">
        <v>55</v>
      </c>
      <c r="L104" t="s">
        <v>65</v>
      </c>
      <c r="M104">
        <v>3.73</v>
      </c>
      <c r="N104">
        <v>3</v>
      </c>
    </row>
    <row r="105" spans="1:14">
      <c r="A105">
        <v>10122</v>
      </c>
      <c r="B105" t="s">
        <v>43</v>
      </c>
      <c r="C105" t="str" cm="1">
        <f t="array" ref="C105">_xlfn.IFS(L105="Exceeds", "Top Performer", L105="Fully Meets", "Solid Performer", L105="Needs Improvement", "Underperformer", L105="PIP", "At Risk")</f>
        <v>Solid Performer</v>
      </c>
      <c r="D105" t="str" cm="1">
        <f t="array" ref="D105">_xlfn.IFS(G105="Active", "Retained", G105="Voluntarily Terminated", "Voluntary Exit", G105="Terminated for Cause", "Involuntary Exit")</f>
        <v>Voluntary Exit</v>
      </c>
      <c r="E105" s="1">
        <v>42689</v>
      </c>
      <c r="F105" t="s">
        <v>69</v>
      </c>
      <c r="G105" t="s">
        <v>61</v>
      </c>
      <c r="H105" t="s">
        <v>53</v>
      </c>
      <c r="I105" t="s">
        <v>72</v>
      </c>
      <c r="J105">
        <v>16</v>
      </c>
      <c r="K105" t="s">
        <v>91</v>
      </c>
      <c r="L105" t="s">
        <v>65</v>
      </c>
      <c r="M105">
        <v>4.24</v>
      </c>
      <c r="N105">
        <v>4</v>
      </c>
    </row>
    <row r="106" spans="1:14">
      <c r="A106">
        <v>10142</v>
      </c>
      <c r="B106" t="s">
        <v>43</v>
      </c>
      <c r="C106" t="str" cm="1">
        <f t="array" ref="C106">_xlfn.IFS(L106="Exceeds", "Top Performer", L106="Fully Meets", "Solid Performer", L106="Needs Improvement", "Underperformer", L106="PIP", "At Risk")</f>
        <v>Solid Performer</v>
      </c>
      <c r="D106" t="str" cm="1">
        <f t="array" ref="D106">_xlfn.IFS(G106="Active", "Retained", G106="Voluntarily Terminated", "Voluntary Exit", G106="Terminated for Cause", "Involuntary Exit")</f>
        <v>Involuntary Exit</v>
      </c>
      <c r="E106" s="1">
        <v>42252</v>
      </c>
      <c r="F106" t="s">
        <v>110</v>
      </c>
      <c r="G106" t="s">
        <v>111</v>
      </c>
      <c r="H106" t="s">
        <v>148</v>
      </c>
      <c r="I106" t="s">
        <v>149</v>
      </c>
      <c r="J106">
        <v>17</v>
      </c>
      <c r="K106" t="s">
        <v>124</v>
      </c>
      <c r="L106" t="s">
        <v>65</v>
      </c>
      <c r="M106">
        <v>3.97</v>
      </c>
      <c r="N106">
        <v>4</v>
      </c>
    </row>
    <row r="107" spans="1:14">
      <c r="A107">
        <v>10283</v>
      </c>
      <c r="B107" t="s">
        <v>43</v>
      </c>
      <c r="C107" t="str" cm="1">
        <f t="array" ref="C107">_xlfn.IFS(L107="Exceeds", "Top Performer", L107="Fully Meets", "Solid Performer", L107="Needs Improvement", "Underperformer", L107="PIP", "At Risk")</f>
        <v>Underperformer</v>
      </c>
      <c r="D107" t="str" cm="1">
        <f t="array" ref="D107">_xlfn.IFS(G107="Active", "Retained", G107="Voluntarily Terminated", "Voluntary Exit", G107="Terminated for Cause", "Involuntary Exit")</f>
        <v>Voluntary Exit</v>
      </c>
      <c r="E107" s="1">
        <v>42180</v>
      </c>
      <c r="F107" t="s">
        <v>219</v>
      </c>
      <c r="G107" t="s">
        <v>61</v>
      </c>
      <c r="H107" t="s">
        <v>53</v>
      </c>
      <c r="I107" t="s">
        <v>76</v>
      </c>
      <c r="J107">
        <v>39</v>
      </c>
      <c r="K107" t="s">
        <v>91</v>
      </c>
      <c r="L107" t="s">
        <v>125</v>
      </c>
      <c r="M107">
        <v>3.97</v>
      </c>
      <c r="N107">
        <v>4</v>
      </c>
    </row>
    <row r="108" spans="1:14">
      <c r="A108">
        <v>10018</v>
      </c>
      <c r="B108" t="s">
        <v>43</v>
      </c>
      <c r="C108" t="str" cm="1">
        <f t="array" ref="C108">_xlfn.IFS(L108="Exceeds", "Top Performer", L108="Fully Meets", "Solid Performer", L108="Needs Improvement", "Underperformer", L108="PIP", "At Risk")</f>
        <v>Top Performer</v>
      </c>
      <c r="D108" t="str" cm="1">
        <f t="array" ref="D108">_xlfn.IFS(G108="Active", "Retained", G108="Voluntarily Terminated", "Voluntary Exit", G108="Terminated for Cause", "Involuntary Exit")</f>
        <v>Retained</v>
      </c>
      <c r="F108" t="s">
        <v>51</v>
      </c>
      <c r="G108" t="s">
        <v>52</v>
      </c>
      <c r="H108" t="s">
        <v>53</v>
      </c>
      <c r="I108" t="s">
        <v>79</v>
      </c>
      <c r="J108">
        <v>11</v>
      </c>
      <c r="K108" t="s">
        <v>64</v>
      </c>
      <c r="L108" t="s">
        <v>56</v>
      </c>
      <c r="M108">
        <v>3.9</v>
      </c>
      <c r="N108">
        <v>4</v>
      </c>
    </row>
    <row r="109" spans="1:14">
      <c r="A109">
        <v>10255</v>
      </c>
      <c r="B109" t="s">
        <v>43</v>
      </c>
      <c r="C109" t="str" cm="1">
        <f t="array" ref="C109">_xlfn.IFS(L109="Exceeds", "Top Performer", L109="Fully Meets", "Solid Performer", L109="Needs Improvement", "Underperformer", L109="PIP", "At Risk")</f>
        <v>Solid Performer</v>
      </c>
      <c r="D109" t="str" cm="1">
        <f t="array" ref="D109">_xlfn.IFS(G109="Active", "Retained", G109="Voluntarily Terminated", "Voluntary Exit", G109="Terminated for Cause", "Involuntary Exit")</f>
        <v>Retained</v>
      </c>
      <c r="F109" t="s">
        <v>51</v>
      </c>
      <c r="G109" t="s">
        <v>52</v>
      </c>
      <c r="H109" t="s">
        <v>148</v>
      </c>
      <c r="I109" t="s">
        <v>167</v>
      </c>
      <c r="J109">
        <v>21</v>
      </c>
      <c r="K109" t="s">
        <v>64</v>
      </c>
      <c r="L109" t="s">
        <v>65</v>
      </c>
      <c r="M109">
        <v>4.5</v>
      </c>
      <c r="N109">
        <v>5</v>
      </c>
    </row>
    <row r="110" spans="1:14">
      <c r="A110">
        <v>10246</v>
      </c>
      <c r="B110" t="s">
        <v>502</v>
      </c>
      <c r="C110" t="str" cm="1">
        <f t="array" ref="C110">_xlfn.IFS(L110="Exceeds", "Top Performer", L110="Fully Meets", "Solid Performer", L110="Needs Improvement", "Underperformer", L110="PIP", "At Risk")</f>
        <v>Solid Performer</v>
      </c>
      <c r="D110" t="str" cm="1">
        <f t="array" ref="D110">_xlfn.IFS(G110="Active", "Retained", G110="Voluntarily Terminated", "Voluntary Exit", G110="Terminated for Cause", "Involuntary Exit")</f>
        <v>Involuntary Exit</v>
      </c>
      <c r="E110" s="1">
        <v>42078</v>
      </c>
      <c r="F110" t="s">
        <v>225</v>
      </c>
      <c r="G110" t="s">
        <v>111</v>
      </c>
      <c r="H110" t="s">
        <v>62</v>
      </c>
      <c r="I110" t="s">
        <v>63</v>
      </c>
      <c r="J110">
        <v>4</v>
      </c>
      <c r="K110" t="s">
        <v>64</v>
      </c>
      <c r="L110" t="s">
        <v>65</v>
      </c>
      <c r="M110">
        <v>4.5999999999999996</v>
      </c>
      <c r="N110">
        <v>4</v>
      </c>
    </row>
    <row r="111" spans="1:14">
      <c r="A111">
        <v>10228</v>
      </c>
      <c r="B111" t="s">
        <v>503</v>
      </c>
      <c r="C111" t="str" cm="1">
        <f t="array" ref="C111">_xlfn.IFS(L111="Exceeds", "Top Performer", L111="Fully Meets", "Solid Performer", L111="Needs Improvement", "Underperformer", L111="PIP", "At Risk")</f>
        <v>Solid Performer</v>
      </c>
      <c r="D111" t="str" cm="1">
        <f t="array" ref="D111">_xlfn.IFS(G111="Active", "Retained", G111="Voluntarily Terminated", "Voluntary Exit", G111="Terminated for Cause", "Involuntary Exit")</f>
        <v>Retained</v>
      </c>
      <c r="F111" t="s">
        <v>51</v>
      </c>
      <c r="G111" t="s">
        <v>52</v>
      </c>
      <c r="H111" t="s">
        <v>62</v>
      </c>
      <c r="I111" t="s">
        <v>94</v>
      </c>
      <c r="J111">
        <v>7</v>
      </c>
      <c r="K111" t="s">
        <v>55</v>
      </c>
      <c r="L111" t="s">
        <v>65</v>
      </c>
      <c r="M111">
        <v>4.3</v>
      </c>
      <c r="N111">
        <v>5</v>
      </c>
    </row>
    <row r="112" spans="1:14">
      <c r="A112">
        <v>10243</v>
      </c>
      <c r="B112" t="s">
        <v>43</v>
      </c>
      <c r="C112" t="str" cm="1">
        <f t="array" ref="C112">_xlfn.IFS(L112="Exceeds", "Top Performer", L112="Fully Meets", "Solid Performer", L112="Needs Improvement", "Underperformer", L112="PIP", "At Risk")</f>
        <v>Solid Performer</v>
      </c>
      <c r="D112" t="str" cm="1">
        <f t="array" ref="D112">_xlfn.IFS(G112="Active", "Retained", G112="Voluntarily Terminated", "Voluntary Exit", G112="Terminated for Cause", "Involuntary Exit")</f>
        <v>Retained</v>
      </c>
      <c r="F112" t="s">
        <v>51</v>
      </c>
      <c r="G112" t="s">
        <v>52</v>
      </c>
      <c r="H112" t="s">
        <v>53</v>
      </c>
      <c r="I112" t="s">
        <v>86</v>
      </c>
      <c r="J112">
        <v>19</v>
      </c>
      <c r="K112" t="s">
        <v>64</v>
      </c>
      <c r="L112" t="s">
        <v>65</v>
      </c>
      <c r="M112">
        <v>4.3</v>
      </c>
      <c r="N112">
        <v>5</v>
      </c>
    </row>
    <row r="113" spans="1:14">
      <c r="A113">
        <v>10031</v>
      </c>
      <c r="B113" t="s">
        <v>43</v>
      </c>
      <c r="C113" t="str" cm="1">
        <f t="array" ref="C113">_xlfn.IFS(L113="Exceeds", "Top Performer", L113="Fully Meets", "Solid Performer", L113="Needs Improvement", "Underperformer", L113="PIP", "At Risk")</f>
        <v>Top Performer</v>
      </c>
      <c r="D113" t="str" cm="1">
        <f t="array" ref="D113">_xlfn.IFS(G113="Active", "Retained", G113="Voluntarily Terminated", "Voluntary Exit", G113="Terminated for Cause", "Involuntary Exit")</f>
        <v>Retained</v>
      </c>
      <c r="F113" t="s">
        <v>51</v>
      </c>
      <c r="G113" t="s">
        <v>52</v>
      </c>
      <c r="H113" t="s">
        <v>53</v>
      </c>
      <c r="I113" t="s">
        <v>90</v>
      </c>
      <c r="J113">
        <v>12</v>
      </c>
      <c r="K113" t="s">
        <v>91</v>
      </c>
      <c r="L113" t="s">
        <v>56</v>
      </c>
      <c r="M113">
        <v>4.5</v>
      </c>
      <c r="N113">
        <v>4</v>
      </c>
    </row>
    <row r="114" spans="1:14">
      <c r="A114">
        <v>10300</v>
      </c>
      <c r="B114" t="s">
        <v>43</v>
      </c>
      <c r="C114" t="str" cm="1">
        <f t="array" ref="C114">_xlfn.IFS(L114="Exceeds", "Top Performer", L114="Fully Meets", "Solid Performer", L114="Needs Improvement", "Underperformer", L114="PIP", "At Risk")</f>
        <v>At Risk</v>
      </c>
      <c r="D114" t="str" cm="1">
        <f t="array" ref="D114">_xlfn.IFS(G114="Active", "Retained", G114="Voluntarily Terminated", "Voluntary Exit", G114="Terminated for Cause", "Involuntary Exit")</f>
        <v>Voluntary Exit</v>
      </c>
      <c r="E114" s="1">
        <v>40693</v>
      </c>
      <c r="F114" t="s">
        <v>60</v>
      </c>
      <c r="G114" t="s">
        <v>61</v>
      </c>
      <c r="H114" t="s">
        <v>53</v>
      </c>
      <c r="I114" t="s">
        <v>90</v>
      </c>
      <c r="J114">
        <v>12</v>
      </c>
      <c r="K114" t="s">
        <v>91</v>
      </c>
      <c r="L114" t="s">
        <v>198</v>
      </c>
      <c r="M114">
        <v>3</v>
      </c>
      <c r="N114">
        <v>3</v>
      </c>
    </row>
    <row r="115" spans="1:14">
      <c r="A115">
        <v>10101</v>
      </c>
      <c r="B115" t="s">
        <v>43</v>
      </c>
      <c r="C115" t="str" cm="1">
        <f t="array" ref="C115">_xlfn.IFS(L115="Exceeds", "Top Performer", L115="Fully Meets", "Solid Performer", L115="Needs Improvement", "Underperformer", L115="PIP", "At Risk")</f>
        <v>Solid Performer</v>
      </c>
      <c r="D115" t="str" cm="1">
        <f t="array" ref="D115">_xlfn.IFS(G115="Active", "Retained", G115="Voluntarily Terminated", "Voluntary Exit", G115="Terminated for Cause", "Involuntary Exit")</f>
        <v>Retained</v>
      </c>
      <c r="F115" t="s">
        <v>51</v>
      </c>
      <c r="G115" t="s">
        <v>52</v>
      </c>
      <c r="H115" t="s">
        <v>62</v>
      </c>
      <c r="I115" t="s">
        <v>94</v>
      </c>
      <c r="J115">
        <v>7</v>
      </c>
      <c r="K115" t="s">
        <v>87</v>
      </c>
      <c r="L115" t="s">
        <v>65</v>
      </c>
      <c r="M115">
        <v>4.6100000000000003</v>
      </c>
      <c r="N115">
        <v>4</v>
      </c>
    </row>
    <row r="116" spans="1:14">
      <c r="A116">
        <v>10237</v>
      </c>
      <c r="B116" t="s">
        <v>43</v>
      </c>
      <c r="C116" t="str" cm="1">
        <f t="array" ref="C116">_xlfn.IFS(L116="Exceeds", "Top Performer", L116="Fully Meets", "Solid Performer", L116="Needs Improvement", "Underperformer", L116="PIP", "At Risk")</f>
        <v>Solid Performer</v>
      </c>
      <c r="D116" t="str" cm="1">
        <f t="array" ref="D116">_xlfn.IFS(G116="Active", "Retained", G116="Voluntarily Terminated", "Voluntary Exit", G116="Terminated for Cause", "Involuntary Exit")</f>
        <v>Retained</v>
      </c>
      <c r="F116" t="s">
        <v>51</v>
      </c>
      <c r="G116" t="s">
        <v>52</v>
      </c>
      <c r="H116" t="s">
        <v>53</v>
      </c>
      <c r="I116" t="s">
        <v>98</v>
      </c>
      <c r="J116">
        <v>14</v>
      </c>
      <c r="K116" t="s">
        <v>55</v>
      </c>
      <c r="L116" t="s">
        <v>65</v>
      </c>
      <c r="M116">
        <v>4.5999999999999996</v>
      </c>
      <c r="N116">
        <v>3</v>
      </c>
    </row>
    <row r="117" spans="1:14">
      <c r="A117">
        <v>10051</v>
      </c>
      <c r="B117" t="s">
        <v>43</v>
      </c>
      <c r="C117" t="str" cm="1">
        <f t="array" ref="C117">_xlfn.IFS(L117="Exceeds", "Top Performer", L117="Fully Meets", "Solid Performer", L117="Needs Improvement", "Underperformer", L117="PIP", "At Risk")</f>
        <v>Solid Performer</v>
      </c>
      <c r="D117" t="str" cm="1">
        <f t="array" ref="D117">_xlfn.IFS(G117="Active", "Retained", G117="Voluntarily Terminated", "Voluntary Exit", G117="Terminated for Cause", "Involuntary Exit")</f>
        <v>Retained</v>
      </c>
      <c r="F117" t="s">
        <v>51</v>
      </c>
      <c r="G117" t="s">
        <v>52</v>
      </c>
      <c r="H117" t="s">
        <v>53</v>
      </c>
      <c r="I117" t="s">
        <v>98</v>
      </c>
      <c r="J117">
        <v>14</v>
      </c>
      <c r="K117" t="s">
        <v>55</v>
      </c>
      <c r="L117" t="s">
        <v>65</v>
      </c>
      <c r="M117">
        <v>5</v>
      </c>
      <c r="N117">
        <v>3</v>
      </c>
    </row>
    <row r="118" spans="1:14">
      <c r="A118">
        <v>10218</v>
      </c>
      <c r="B118" t="s">
        <v>43</v>
      </c>
      <c r="C118" t="str" cm="1">
        <f t="array" ref="C118">_xlfn.IFS(L118="Exceeds", "Top Performer", L118="Fully Meets", "Solid Performer", L118="Needs Improvement", "Underperformer", L118="PIP", "At Risk")</f>
        <v>Solid Performer</v>
      </c>
      <c r="D118" t="str" cm="1">
        <f t="array" ref="D118">_xlfn.IFS(G118="Active", "Retained", G118="Voluntarily Terminated", "Voluntary Exit", G118="Terminated for Cause", "Involuntary Exit")</f>
        <v>Retained</v>
      </c>
      <c r="F118" t="s">
        <v>51</v>
      </c>
      <c r="G118" t="s">
        <v>52</v>
      </c>
      <c r="H118" t="s">
        <v>53</v>
      </c>
      <c r="I118" t="s">
        <v>70</v>
      </c>
      <c r="J118">
        <v>20</v>
      </c>
      <c r="K118" t="s">
        <v>77</v>
      </c>
      <c r="L118" t="s">
        <v>65</v>
      </c>
      <c r="M118">
        <v>4.4000000000000004</v>
      </c>
      <c r="N118">
        <v>5</v>
      </c>
    </row>
    <row r="119" spans="1:14">
      <c r="A119">
        <v>10256</v>
      </c>
      <c r="B119" t="s">
        <v>43</v>
      </c>
      <c r="C119" t="str" cm="1">
        <f t="array" ref="C119">_xlfn.IFS(L119="Exceeds", "Top Performer", L119="Fully Meets", "Solid Performer", L119="Needs Improvement", "Underperformer", L119="PIP", "At Risk")</f>
        <v>Solid Performer</v>
      </c>
      <c r="D119" t="str" cm="1">
        <f t="array" ref="D119">_xlfn.IFS(G119="Active", "Retained", G119="Voluntarily Terminated", "Voluntary Exit", G119="Terminated for Cause", "Involuntary Exit")</f>
        <v>Retained</v>
      </c>
      <c r="F119" t="s">
        <v>51</v>
      </c>
      <c r="G119" t="s">
        <v>52</v>
      </c>
      <c r="H119" t="s">
        <v>53</v>
      </c>
      <c r="I119" t="s">
        <v>70</v>
      </c>
      <c r="J119">
        <v>20</v>
      </c>
      <c r="K119" t="s">
        <v>55</v>
      </c>
      <c r="L119" t="s">
        <v>65</v>
      </c>
      <c r="M119">
        <v>4.0999999999999996</v>
      </c>
      <c r="N119">
        <v>5</v>
      </c>
    </row>
    <row r="120" spans="1:14">
      <c r="A120">
        <v>10098</v>
      </c>
      <c r="B120" t="s">
        <v>43</v>
      </c>
      <c r="C120" t="str" cm="1">
        <f t="array" ref="C120">_xlfn.IFS(L120="Exceeds", "Top Performer", L120="Fully Meets", "Solid Performer", L120="Needs Improvement", "Underperformer", L120="PIP", "At Risk")</f>
        <v>Solid Performer</v>
      </c>
      <c r="D120" t="str" cm="1">
        <f t="array" ref="D120">_xlfn.IFS(G120="Active", "Retained", G120="Voluntarily Terminated", "Voluntary Exit", G120="Terminated for Cause", "Involuntary Exit")</f>
        <v>Retained</v>
      </c>
      <c r="F120" t="s">
        <v>51</v>
      </c>
      <c r="G120" t="s">
        <v>52</v>
      </c>
      <c r="H120" t="s">
        <v>53</v>
      </c>
      <c r="I120" t="s">
        <v>138</v>
      </c>
      <c r="J120">
        <v>2</v>
      </c>
      <c r="K120" t="s">
        <v>87</v>
      </c>
      <c r="L120" t="s">
        <v>65</v>
      </c>
      <c r="M120">
        <v>4.63</v>
      </c>
      <c r="N120">
        <v>3</v>
      </c>
    </row>
    <row r="121" spans="1:14">
      <c r="A121">
        <v>10059</v>
      </c>
      <c r="B121" t="s">
        <v>43</v>
      </c>
      <c r="C121" t="str" cm="1">
        <f t="array" ref="C121">_xlfn.IFS(L121="Exceeds", "Top Performer", L121="Fully Meets", "Solid Performer", L121="Needs Improvement", "Underperformer", L121="PIP", "At Risk")</f>
        <v>Solid Performer</v>
      </c>
      <c r="D121" t="str" cm="1">
        <f t="array" ref="D121">_xlfn.IFS(G121="Active", "Retained", G121="Voluntarily Terminated", "Voluntary Exit", G121="Terminated for Cause", "Involuntary Exit")</f>
        <v>Voluntary Exit</v>
      </c>
      <c r="E121" s="1">
        <v>41650</v>
      </c>
      <c r="F121" t="s">
        <v>200</v>
      </c>
      <c r="G121" t="s">
        <v>61</v>
      </c>
      <c r="H121" t="s">
        <v>53</v>
      </c>
      <c r="I121" t="s">
        <v>106</v>
      </c>
      <c r="J121">
        <v>18</v>
      </c>
      <c r="K121" t="s">
        <v>124</v>
      </c>
      <c r="L121" t="s">
        <v>65</v>
      </c>
      <c r="M121">
        <v>5</v>
      </c>
      <c r="N121">
        <v>5</v>
      </c>
    </row>
    <row r="122" spans="1:14">
      <c r="A122">
        <v>10234</v>
      </c>
      <c r="B122" t="s">
        <v>503</v>
      </c>
      <c r="C122" t="str" cm="1">
        <f t="array" ref="C122">_xlfn.IFS(L122="Exceeds", "Top Performer", L122="Fully Meets", "Solid Performer", L122="Needs Improvement", "Underperformer", L122="PIP", "At Risk")</f>
        <v>Solid Performer</v>
      </c>
      <c r="D122" t="str" cm="1">
        <f t="array" ref="D122">_xlfn.IFS(G122="Active", "Retained", G122="Voluntarily Terminated", "Voluntary Exit", G122="Terminated for Cause", "Involuntary Exit")</f>
        <v>Retained</v>
      </c>
      <c r="F122" t="s">
        <v>51</v>
      </c>
      <c r="G122" t="s">
        <v>52</v>
      </c>
      <c r="H122" t="s">
        <v>62</v>
      </c>
      <c r="I122" t="s">
        <v>204</v>
      </c>
      <c r="J122">
        <v>13</v>
      </c>
      <c r="K122" t="s">
        <v>64</v>
      </c>
      <c r="L122" t="s">
        <v>65</v>
      </c>
      <c r="M122">
        <v>4.2</v>
      </c>
      <c r="N122">
        <v>5</v>
      </c>
    </row>
    <row r="123" spans="1:14">
      <c r="A123">
        <v>10109</v>
      </c>
      <c r="B123" t="s">
        <v>503</v>
      </c>
      <c r="C123" t="str" cm="1">
        <f t="array" ref="C123">_xlfn.IFS(L123="Exceeds", "Top Performer", L123="Fully Meets", "Solid Performer", L123="Needs Improvement", "Underperformer", L123="PIP", "At Risk")</f>
        <v>Solid Performer</v>
      </c>
      <c r="D123" t="str" cm="1">
        <f t="array" ref="D123">_xlfn.IFS(G123="Active", "Retained", G123="Voluntarily Terminated", "Voluntary Exit", G123="Terminated for Cause", "Involuntary Exit")</f>
        <v>Voluntary Exit</v>
      </c>
      <c r="E123" s="1">
        <v>41943</v>
      </c>
      <c r="F123" t="s">
        <v>169</v>
      </c>
      <c r="G123" t="s">
        <v>61</v>
      </c>
      <c r="H123" t="s">
        <v>148</v>
      </c>
      <c r="I123" t="s">
        <v>149</v>
      </c>
      <c r="J123">
        <v>17</v>
      </c>
      <c r="K123" t="s">
        <v>55</v>
      </c>
      <c r="L123" t="s">
        <v>65</v>
      </c>
      <c r="M123">
        <v>4.5</v>
      </c>
      <c r="N123">
        <v>5</v>
      </c>
    </row>
    <row r="124" spans="1:14">
      <c r="A124">
        <v>10125</v>
      </c>
      <c r="B124" t="s">
        <v>43</v>
      </c>
      <c r="C124" t="str" cm="1">
        <f t="array" ref="C124">_xlfn.IFS(L124="Exceeds", "Top Performer", L124="Fully Meets", "Solid Performer", L124="Needs Improvement", "Underperformer", L124="PIP", "At Risk")</f>
        <v>Solid Performer</v>
      </c>
      <c r="D124" t="str" cm="1">
        <f t="array" ref="D124">_xlfn.IFS(G124="Active", "Retained", G124="Voluntarily Terminated", "Voluntary Exit", G124="Terminated for Cause", "Involuntary Exit")</f>
        <v>Retained</v>
      </c>
      <c r="F124" t="s">
        <v>51</v>
      </c>
      <c r="G124" t="s">
        <v>52</v>
      </c>
      <c r="H124" t="s">
        <v>53</v>
      </c>
      <c r="I124" t="s">
        <v>54</v>
      </c>
      <c r="J124">
        <v>22</v>
      </c>
      <c r="K124" t="s">
        <v>77</v>
      </c>
      <c r="L124" t="s">
        <v>65</v>
      </c>
      <c r="M124">
        <v>4.2</v>
      </c>
      <c r="N124">
        <v>4</v>
      </c>
    </row>
    <row r="125" spans="1:14">
      <c r="A125">
        <v>10074</v>
      </c>
      <c r="B125" t="s">
        <v>43</v>
      </c>
      <c r="C125" t="str" cm="1">
        <f t="array" ref="C125">_xlfn.IFS(L125="Exceeds", "Top Performer", L125="Fully Meets", "Solid Performer", L125="Needs Improvement", "Underperformer", L125="PIP", "At Risk")</f>
        <v>Solid Performer</v>
      </c>
      <c r="D125" t="str" cm="1">
        <f t="array" ref="D125">_xlfn.IFS(G125="Active", "Retained", G125="Voluntarily Terminated", "Voluntary Exit", G125="Terminated for Cause", "Involuntary Exit")</f>
        <v>Retained</v>
      </c>
      <c r="F125" t="s">
        <v>51</v>
      </c>
      <c r="G125" t="s">
        <v>52</v>
      </c>
      <c r="H125" t="s">
        <v>53</v>
      </c>
      <c r="I125" t="s">
        <v>106</v>
      </c>
      <c r="J125">
        <v>18</v>
      </c>
      <c r="K125" t="s">
        <v>55</v>
      </c>
      <c r="L125" t="s">
        <v>65</v>
      </c>
      <c r="M125">
        <v>5</v>
      </c>
      <c r="N125">
        <v>3</v>
      </c>
    </row>
    <row r="126" spans="1:14">
      <c r="A126">
        <v>10097</v>
      </c>
      <c r="B126" t="s">
        <v>43</v>
      </c>
      <c r="C126" t="str" cm="1">
        <f t="array" ref="C126">_xlfn.IFS(L126="Exceeds", "Top Performer", L126="Fully Meets", "Solid Performer", L126="Needs Improvement", "Underperformer", L126="PIP", "At Risk")</f>
        <v>Solid Performer</v>
      </c>
      <c r="D126" t="str" cm="1">
        <f t="array" ref="D126">_xlfn.IFS(G126="Active", "Retained", G126="Voluntarily Terminated", "Voluntary Exit", G126="Terminated for Cause", "Involuntary Exit")</f>
        <v>Voluntary Exit</v>
      </c>
      <c r="E126" s="1">
        <v>42353</v>
      </c>
      <c r="F126" t="s">
        <v>137</v>
      </c>
      <c r="G126" t="s">
        <v>61</v>
      </c>
      <c r="H126" t="s">
        <v>53</v>
      </c>
      <c r="I126" t="s">
        <v>76</v>
      </c>
      <c r="J126">
        <v>39</v>
      </c>
      <c r="K126" t="s">
        <v>124</v>
      </c>
      <c r="L126" t="s">
        <v>65</v>
      </c>
      <c r="M126">
        <v>4.6399999999999997</v>
      </c>
      <c r="N126">
        <v>4</v>
      </c>
    </row>
    <row r="127" spans="1:14">
      <c r="A127">
        <v>10007</v>
      </c>
      <c r="B127" t="s">
        <v>43</v>
      </c>
      <c r="C127" t="str" cm="1">
        <f t="array" ref="C127">_xlfn.IFS(L127="Exceeds", "Top Performer", L127="Fully Meets", "Solid Performer", L127="Needs Improvement", "Underperformer", L127="PIP", "At Risk")</f>
        <v>Top Performer</v>
      </c>
      <c r="D127" t="str" cm="1">
        <f t="array" ref="D127">_xlfn.IFS(G127="Active", "Retained", G127="Voluntarily Terminated", "Voluntary Exit", G127="Terminated for Cause", "Involuntary Exit")</f>
        <v>Retained</v>
      </c>
      <c r="F127" t="s">
        <v>51</v>
      </c>
      <c r="G127" t="s">
        <v>52</v>
      </c>
      <c r="H127" t="s">
        <v>53</v>
      </c>
      <c r="I127" t="s">
        <v>79</v>
      </c>
      <c r="J127">
        <v>11</v>
      </c>
      <c r="K127" t="s">
        <v>124</v>
      </c>
      <c r="L127" t="s">
        <v>56</v>
      </c>
      <c r="M127">
        <v>4.76</v>
      </c>
      <c r="N127">
        <v>4</v>
      </c>
    </row>
    <row r="128" spans="1:14">
      <c r="A128">
        <v>10129</v>
      </c>
      <c r="B128" t="s">
        <v>43</v>
      </c>
      <c r="C128" t="str" cm="1">
        <f t="array" ref="C128">_xlfn.IFS(L128="Exceeds", "Top Performer", L128="Fully Meets", "Solid Performer", L128="Needs Improvement", "Underperformer", L128="PIP", "At Risk")</f>
        <v>Solid Performer</v>
      </c>
      <c r="D128" t="str" cm="1">
        <f t="array" ref="D128">_xlfn.IFS(G128="Active", "Retained", G128="Voluntarily Terminated", "Voluntary Exit", G128="Terminated for Cause", "Involuntary Exit")</f>
        <v>Retained</v>
      </c>
      <c r="F128" t="s">
        <v>51</v>
      </c>
      <c r="G128" t="s">
        <v>52</v>
      </c>
      <c r="H128" t="s">
        <v>53</v>
      </c>
      <c r="I128" t="s">
        <v>86</v>
      </c>
      <c r="J128">
        <v>19</v>
      </c>
      <c r="K128" t="s">
        <v>77</v>
      </c>
      <c r="L128" t="s">
        <v>65</v>
      </c>
      <c r="M128">
        <v>4.17</v>
      </c>
      <c r="N128">
        <v>4</v>
      </c>
    </row>
    <row r="129" spans="1:14">
      <c r="A129">
        <v>10075</v>
      </c>
      <c r="B129" t="s">
        <v>43</v>
      </c>
      <c r="C129" t="str" cm="1">
        <f t="array" ref="C129">_xlfn.IFS(L129="Exceeds", "Top Performer", L129="Fully Meets", "Solid Performer", L129="Needs Improvement", "Underperformer", L129="PIP", "At Risk")</f>
        <v>Solid Performer</v>
      </c>
      <c r="D129" t="str" cm="1">
        <f t="array" ref="D129">_xlfn.IFS(G129="Active", "Retained", G129="Voluntarily Terminated", "Voluntary Exit", G129="Terminated for Cause", "Involuntary Exit")</f>
        <v>Voluntary Exit</v>
      </c>
      <c r="E129" s="1">
        <v>41443</v>
      </c>
      <c r="F129" t="s">
        <v>69</v>
      </c>
      <c r="G129" t="s">
        <v>61</v>
      </c>
      <c r="H129" t="s">
        <v>53</v>
      </c>
      <c r="I129" t="s">
        <v>106</v>
      </c>
      <c r="J129">
        <v>18</v>
      </c>
      <c r="K129" t="s">
        <v>124</v>
      </c>
      <c r="L129" t="s">
        <v>65</v>
      </c>
      <c r="M129">
        <v>5</v>
      </c>
      <c r="N129">
        <v>3</v>
      </c>
    </row>
    <row r="130" spans="1:14">
      <c r="A130">
        <v>10167</v>
      </c>
      <c r="B130" t="s">
        <v>503</v>
      </c>
      <c r="C130" t="str" cm="1">
        <f t="array" ref="C130">_xlfn.IFS(L130="Exceeds", "Top Performer", L130="Fully Meets", "Solid Performer", L130="Needs Improvement", "Underperformer", L130="PIP", "At Risk")</f>
        <v>Solid Performer</v>
      </c>
      <c r="D130" t="str" cm="1">
        <f t="array" ref="D130">_xlfn.IFS(G130="Active", "Retained", G130="Voluntarily Terminated", "Voluntary Exit", G130="Terminated for Cause", "Involuntary Exit")</f>
        <v>Retained</v>
      </c>
      <c r="F130" t="s">
        <v>51</v>
      </c>
      <c r="G130" t="s">
        <v>52</v>
      </c>
      <c r="H130" t="s">
        <v>148</v>
      </c>
      <c r="I130" t="s">
        <v>149</v>
      </c>
      <c r="J130">
        <v>17</v>
      </c>
      <c r="K130" t="s">
        <v>64</v>
      </c>
      <c r="L130" t="s">
        <v>65</v>
      </c>
      <c r="M130">
        <v>3.6</v>
      </c>
      <c r="N130">
        <v>5</v>
      </c>
    </row>
    <row r="131" spans="1:14">
      <c r="A131">
        <v>10195</v>
      </c>
      <c r="B131" t="s">
        <v>43</v>
      </c>
      <c r="C131" t="str" cm="1">
        <f t="array" ref="C131">_xlfn.IFS(L131="Exceeds", "Top Performer", L131="Fully Meets", "Solid Performer", L131="Needs Improvement", "Underperformer", L131="PIP", "At Risk")</f>
        <v>Solid Performer</v>
      </c>
      <c r="D131" t="str" cm="1">
        <f t="array" ref="D131">_xlfn.IFS(G131="Active", "Retained", G131="Voluntarily Terminated", "Voluntary Exit", G131="Terminated for Cause", "Involuntary Exit")</f>
        <v>Voluntary Exit</v>
      </c>
      <c r="E131" s="1">
        <v>41006</v>
      </c>
      <c r="F131" t="s">
        <v>169</v>
      </c>
      <c r="G131" t="s">
        <v>61</v>
      </c>
      <c r="H131" t="s">
        <v>53</v>
      </c>
      <c r="I131" t="s">
        <v>54</v>
      </c>
      <c r="J131">
        <v>30</v>
      </c>
      <c r="K131" t="s">
        <v>64</v>
      </c>
      <c r="L131" t="s">
        <v>65</v>
      </c>
      <c r="M131">
        <v>3.03</v>
      </c>
      <c r="N131">
        <v>5</v>
      </c>
    </row>
    <row r="132" spans="1:14">
      <c r="A132">
        <v>10112</v>
      </c>
      <c r="B132" t="s">
        <v>503</v>
      </c>
      <c r="C132" t="str" cm="1">
        <f t="array" ref="C132">_xlfn.IFS(L132="Exceeds", "Top Performer", L132="Fully Meets", "Solid Performer", L132="Needs Improvement", "Underperformer", L132="PIP", "At Risk")</f>
        <v>Solid Performer</v>
      </c>
      <c r="D132" t="str" cm="1">
        <f t="array" ref="D132">_xlfn.IFS(G132="Active", "Retained", G132="Voluntarily Terminated", "Voluntary Exit", G132="Terminated for Cause", "Involuntary Exit")</f>
        <v>Retained</v>
      </c>
      <c r="F132" t="s">
        <v>51</v>
      </c>
      <c r="G132" t="s">
        <v>52</v>
      </c>
      <c r="H132" t="s">
        <v>62</v>
      </c>
      <c r="I132" t="s">
        <v>63</v>
      </c>
      <c r="J132">
        <v>4</v>
      </c>
      <c r="K132" t="s">
        <v>64</v>
      </c>
      <c r="L132" t="s">
        <v>65</v>
      </c>
      <c r="M132">
        <v>4.4800000000000004</v>
      </c>
      <c r="N132">
        <v>5</v>
      </c>
    </row>
    <row r="133" spans="1:14">
      <c r="A133">
        <v>10272</v>
      </c>
      <c r="B133" t="s">
        <v>502</v>
      </c>
      <c r="C133" t="str" cm="1">
        <f t="array" ref="C133">_xlfn.IFS(L133="Exceeds", "Top Performer", L133="Fully Meets", "Solid Performer", L133="Needs Improvement", "Underperformer", L133="PIP", "At Risk")</f>
        <v>Solid Performer</v>
      </c>
      <c r="D133" t="str" cm="1">
        <f t="array" ref="D133">_xlfn.IFS(G133="Active", "Retained", G133="Voluntarily Terminated", "Voluntary Exit", G133="Terminated for Cause", "Involuntary Exit")</f>
        <v>Retained</v>
      </c>
      <c r="F133" t="s">
        <v>51</v>
      </c>
      <c r="G133" t="s">
        <v>52</v>
      </c>
      <c r="H133" t="s">
        <v>148</v>
      </c>
      <c r="I133" t="s">
        <v>138</v>
      </c>
      <c r="J133">
        <v>2</v>
      </c>
      <c r="K133" t="s">
        <v>55</v>
      </c>
      <c r="L133" t="s">
        <v>65</v>
      </c>
      <c r="M133">
        <v>4.5</v>
      </c>
      <c r="N133">
        <v>4</v>
      </c>
    </row>
    <row r="134" spans="1:14">
      <c r="A134">
        <v>10182</v>
      </c>
      <c r="B134" t="s">
        <v>43</v>
      </c>
      <c r="C134" t="str" cm="1">
        <f t="array" ref="C134">_xlfn.IFS(L134="Exceeds", "Top Performer", L134="Fully Meets", "Solid Performer", L134="Needs Improvement", "Underperformer", L134="PIP", "At Risk")</f>
        <v>Solid Performer</v>
      </c>
      <c r="D134" t="str" cm="1">
        <f t="array" ref="D134">_xlfn.IFS(G134="Active", "Retained", G134="Voluntarily Terminated", "Voluntary Exit", G134="Terminated for Cause", "Involuntary Exit")</f>
        <v>Involuntary Exit</v>
      </c>
      <c r="E134" s="1">
        <v>42109</v>
      </c>
      <c r="F134" t="s">
        <v>225</v>
      </c>
      <c r="G134" t="s">
        <v>111</v>
      </c>
      <c r="H134" t="s">
        <v>133</v>
      </c>
      <c r="I134" t="s">
        <v>134</v>
      </c>
      <c r="J134">
        <v>1</v>
      </c>
      <c r="K134" t="s">
        <v>64</v>
      </c>
      <c r="L134" t="s">
        <v>65</v>
      </c>
      <c r="M134">
        <v>3.24</v>
      </c>
      <c r="N134">
        <v>3</v>
      </c>
    </row>
    <row r="135" spans="1:14">
      <c r="A135">
        <v>10248</v>
      </c>
      <c r="B135" t="s">
        <v>43</v>
      </c>
      <c r="C135" t="str" cm="1">
        <f t="array" ref="C135">_xlfn.IFS(L135="Exceeds", "Top Performer", L135="Fully Meets", "Solid Performer", L135="Needs Improvement", "Underperformer", L135="PIP", "At Risk")</f>
        <v>Solid Performer</v>
      </c>
      <c r="D135" t="str" cm="1">
        <f t="array" ref="D135">_xlfn.IFS(G135="Active", "Retained", G135="Voluntarily Terminated", "Voluntary Exit", G135="Terminated for Cause", "Involuntary Exit")</f>
        <v>Retained</v>
      </c>
      <c r="F135" t="s">
        <v>51</v>
      </c>
      <c r="G135" t="s">
        <v>52</v>
      </c>
      <c r="H135" t="s">
        <v>53</v>
      </c>
      <c r="I135" t="s">
        <v>86</v>
      </c>
      <c r="J135">
        <v>19</v>
      </c>
      <c r="K135" t="s">
        <v>55</v>
      </c>
      <c r="L135" t="s">
        <v>65</v>
      </c>
      <c r="M135">
        <v>4.8</v>
      </c>
      <c r="N135">
        <v>4</v>
      </c>
    </row>
    <row r="136" spans="1:14">
      <c r="A136">
        <v>10201</v>
      </c>
      <c r="B136" t="s">
        <v>43</v>
      </c>
      <c r="C136" t="str" cm="1">
        <f t="array" ref="C136">_xlfn.IFS(L136="Exceeds", "Top Performer", L136="Fully Meets", "Solid Performer", L136="Needs Improvement", "Underperformer", L136="PIP", "At Risk")</f>
        <v>Solid Performer</v>
      </c>
      <c r="D136" t="str" cm="1">
        <f t="array" ref="D136">_xlfn.IFS(G136="Active", "Retained", G136="Voluntarily Terminated", "Voluntary Exit", G136="Terminated for Cause", "Involuntary Exit")</f>
        <v>Retained</v>
      </c>
      <c r="F136" t="s">
        <v>51</v>
      </c>
      <c r="G136" t="s">
        <v>52</v>
      </c>
      <c r="H136" t="s">
        <v>53</v>
      </c>
      <c r="I136" t="s">
        <v>72</v>
      </c>
      <c r="J136">
        <v>16</v>
      </c>
      <c r="K136" t="s">
        <v>55</v>
      </c>
      <c r="L136" t="s">
        <v>65</v>
      </c>
      <c r="M136">
        <v>3</v>
      </c>
      <c r="N136">
        <v>5</v>
      </c>
    </row>
    <row r="137" spans="1:14">
      <c r="A137">
        <v>10214</v>
      </c>
      <c r="B137" t="s">
        <v>43</v>
      </c>
      <c r="C137" t="str" cm="1">
        <f t="array" ref="C137">_xlfn.IFS(L137="Exceeds", "Top Performer", L137="Fully Meets", "Solid Performer", L137="Needs Improvement", "Underperformer", L137="PIP", "At Risk")</f>
        <v>Solid Performer</v>
      </c>
      <c r="D137" t="str" cm="1">
        <f t="array" ref="D137">_xlfn.IFS(G137="Active", "Retained", G137="Voluntarily Terminated", "Voluntary Exit", G137="Terminated for Cause", "Involuntary Exit")</f>
        <v>Retained</v>
      </c>
      <c r="F137" t="s">
        <v>51</v>
      </c>
      <c r="G137" t="s">
        <v>52</v>
      </c>
      <c r="H137" t="s">
        <v>53</v>
      </c>
      <c r="I137" t="s">
        <v>76</v>
      </c>
      <c r="K137" t="s">
        <v>64</v>
      </c>
      <c r="L137" t="s">
        <v>65</v>
      </c>
      <c r="M137">
        <v>4.5</v>
      </c>
      <c r="N137">
        <v>3</v>
      </c>
    </row>
    <row r="138" spans="1:14">
      <c r="A138">
        <v>10160</v>
      </c>
      <c r="B138" t="s">
        <v>43</v>
      </c>
      <c r="C138" t="str" cm="1">
        <f t="array" ref="C138">_xlfn.IFS(L138="Exceeds", "Top Performer", L138="Fully Meets", "Solid Performer", L138="Needs Improvement", "Underperformer", L138="PIP", "At Risk")</f>
        <v>Solid Performer</v>
      </c>
      <c r="D138" t="str" cm="1">
        <f t="array" ref="D138">_xlfn.IFS(G138="Active", "Retained", G138="Voluntarily Terminated", "Voluntary Exit", G138="Terminated for Cause", "Involuntary Exit")</f>
        <v>Voluntary Exit</v>
      </c>
      <c r="E138" s="1">
        <v>41365</v>
      </c>
      <c r="F138" t="s">
        <v>100</v>
      </c>
      <c r="G138" t="s">
        <v>61</v>
      </c>
      <c r="H138" t="s">
        <v>53</v>
      </c>
      <c r="I138" t="s">
        <v>79</v>
      </c>
      <c r="J138">
        <v>11</v>
      </c>
      <c r="K138" t="s">
        <v>77</v>
      </c>
      <c r="L138" t="s">
        <v>65</v>
      </c>
      <c r="M138">
        <v>3.72</v>
      </c>
      <c r="N138">
        <v>3</v>
      </c>
    </row>
    <row r="139" spans="1:14">
      <c r="A139">
        <v>10289</v>
      </c>
      <c r="B139" t="s">
        <v>503</v>
      </c>
      <c r="C139" t="str" cm="1">
        <f t="array" ref="C139">_xlfn.IFS(L139="Exceeds", "Top Performer", L139="Fully Meets", "Solid Performer", L139="Needs Improvement", "Underperformer", L139="PIP", "At Risk")</f>
        <v>Underperformer</v>
      </c>
      <c r="D139" t="str" cm="1">
        <f t="array" ref="D139">_xlfn.IFS(G139="Active", "Retained", G139="Voluntarily Terminated", "Voluntary Exit", G139="Terminated for Cause", "Involuntary Exit")</f>
        <v>Voluntary Exit</v>
      </c>
      <c r="E139" s="1">
        <v>41176</v>
      </c>
      <c r="F139" t="s">
        <v>100</v>
      </c>
      <c r="G139" t="s">
        <v>61</v>
      </c>
      <c r="H139" t="s">
        <v>53</v>
      </c>
      <c r="I139" t="s">
        <v>138</v>
      </c>
      <c r="J139">
        <v>2</v>
      </c>
      <c r="K139" t="s">
        <v>64</v>
      </c>
      <c r="L139" t="s">
        <v>125</v>
      </c>
      <c r="M139">
        <v>2.34</v>
      </c>
      <c r="N139">
        <v>2</v>
      </c>
    </row>
    <row r="140" spans="1:14">
      <c r="A140">
        <v>10139</v>
      </c>
      <c r="B140" t="s">
        <v>43</v>
      </c>
      <c r="C140" t="str" cm="1">
        <f t="array" ref="C140">_xlfn.IFS(L140="Exceeds", "Top Performer", L140="Fully Meets", "Solid Performer", L140="Needs Improvement", "Underperformer", L140="PIP", "At Risk")</f>
        <v>Solid Performer</v>
      </c>
      <c r="D140" t="str" cm="1">
        <f t="array" ref="D140">_xlfn.IFS(G140="Active", "Retained", G140="Voluntarily Terminated", "Voluntary Exit", G140="Terminated for Cause", "Involuntary Exit")</f>
        <v>Retained</v>
      </c>
      <c r="F140" t="s">
        <v>51</v>
      </c>
      <c r="G140" t="s">
        <v>52</v>
      </c>
      <c r="H140" t="s">
        <v>53</v>
      </c>
      <c r="I140" t="s">
        <v>90</v>
      </c>
      <c r="J140">
        <v>12</v>
      </c>
      <c r="K140" t="s">
        <v>64</v>
      </c>
      <c r="L140" t="s">
        <v>65</v>
      </c>
      <c r="M140">
        <v>3.99</v>
      </c>
      <c r="N140">
        <v>3</v>
      </c>
    </row>
    <row r="141" spans="1:14">
      <c r="A141">
        <v>10227</v>
      </c>
      <c r="B141" t="s">
        <v>43</v>
      </c>
      <c r="C141" t="str" cm="1">
        <f t="array" ref="C141">_xlfn.IFS(L141="Exceeds", "Top Performer", L141="Fully Meets", "Solid Performer", L141="Needs Improvement", "Underperformer", L141="PIP", "At Risk")</f>
        <v>Solid Performer</v>
      </c>
      <c r="D141" t="str" cm="1">
        <f t="array" ref="D141">_xlfn.IFS(G141="Active", "Retained", G141="Voluntarily Terminated", "Voluntary Exit", G141="Terminated for Cause", "Involuntary Exit")</f>
        <v>Retained</v>
      </c>
      <c r="F141" t="s">
        <v>51</v>
      </c>
      <c r="G141" t="s">
        <v>52</v>
      </c>
      <c r="H141" t="s">
        <v>53</v>
      </c>
      <c r="I141" t="s">
        <v>98</v>
      </c>
      <c r="J141">
        <v>14</v>
      </c>
      <c r="K141" t="s">
        <v>55</v>
      </c>
      <c r="L141" t="s">
        <v>65</v>
      </c>
      <c r="M141">
        <v>4.0999999999999996</v>
      </c>
      <c r="N141">
        <v>3</v>
      </c>
    </row>
    <row r="142" spans="1:14">
      <c r="A142">
        <v>10236</v>
      </c>
      <c r="B142" t="s">
        <v>43</v>
      </c>
      <c r="C142" t="str" cm="1">
        <f t="array" ref="C142">_xlfn.IFS(L142="Exceeds", "Top Performer", L142="Fully Meets", "Solid Performer", L142="Needs Improvement", "Underperformer", L142="PIP", "At Risk")</f>
        <v>Solid Performer</v>
      </c>
      <c r="D142" t="str" cm="1">
        <f t="array" ref="D142">_xlfn.IFS(G142="Active", "Retained", G142="Voluntarily Terminated", "Voluntary Exit", G142="Terminated for Cause", "Involuntary Exit")</f>
        <v>Retained</v>
      </c>
      <c r="F142" t="s">
        <v>51</v>
      </c>
      <c r="G142" t="s">
        <v>52</v>
      </c>
      <c r="H142" t="s">
        <v>53</v>
      </c>
      <c r="I142" t="s">
        <v>70</v>
      </c>
      <c r="J142">
        <v>20</v>
      </c>
      <c r="K142" t="s">
        <v>87</v>
      </c>
      <c r="L142" t="s">
        <v>65</v>
      </c>
      <c r="M142">
        <v>4.3</v>
      </c>
      <c r="N142">
        <v>5</v>
      </c>
    </row>
    <row r="143" spans="1:14">
      <c r="A143">
        <v>10009</v>
      </c>
      <c r="B143" t="s">
        <v>43</v>
      </c>
      <c r="C143" t="str" cm="1">
        <f t="array" ref="C143">_xlfn.IFS(L143="Exceeds", "Top Performer", L143="Fully Meets", "Solid Performer", L143="Needs Improvement", "Underperformer", L143="PIP", "At Risk")</f>
        <v>Top Performer</v>
      </c>
      <c r="D143" t="str" cm="1">
        <f t="array" ref="D143">_xlfn.IFS(G143="Active", "Retained", G143="Voluntarily Terminated", "Voluntary Exit", G143="Terminated for Cause", "Involuntary Exit")</f>
        <v>Retained</v>
      </c>
      <c r="F143" t="s">
        <v>51</v>
      </c>
      <c r="G143" t="s">
        <v>52</v>
      </c>
      <c r="H143" t="s">
        <v>53</v>
      </c>
      <c r="I143" t="s">
        <v>86</v>
      </c>
      <c r="J143">
        <v>19</v>
      </c>
      <c r="K143" t="s">
        <v>55</v>
      </c>
      <c r="L143" t="s">
        <v>56</v>
      </c>
      <c r="M143">
        <v>4.5999999999999996</v>
      </c>
      <c r="N143">
        <v>4</v>
      </c>
    </row>
    <row r="144" spans="1:14">
      <c r="A144">
        <v>10060</v>
      </c>
      <c r="B144" t="s">
        <v>43</v>
      </c>
      <c r="C144" t="str" cm="1">
        <f t="array" ref="C144">_xlfn.IFS(L144="Exceeds", "Top Performer", L144="Fully Meets", "Solid Performer", L144="Needs Improvement", "Underperformer", L144="PIP", "At Risk")</f>
        <v>Solid Performer</v>
      </c>
      <c r="D144" t="str" cm="1">
        <f t="array" ref="D144">_xlfn.IFS(G144="Active", "Retained", G144="Voluntarily Terminated", "Voluntary Exit", G144="Terminated for Cause", "Involuntary Exit")</f>
        <v>Retained</v>
      </c>
      <c r="F144" t="s">
        <v>51</v>
      </c>
      <c r="G144" t="s">
        <v>52</v>
      </c>
      <c r="H144" t="s">
        <v>53</v>
      </c>
      <c r="I144" t="s">
        <v>106</v>
      </c>
      <c r="J144">
        <v>18</v>
      </c>
      <c r="K144" t="s">
        <v>55</v>
      </c>
      <c r="L144" t="s">
        <v>65</v>
      </c>
      <c r="M144">
        <v>5</v>
      </c>
      <c r="N144">
        <v>5</v>
      </c>
    </row>
    <row r="145" spans="1:14">
      <c r="A145">
        <v>10034</v>
      </c>
      <c r="B145" t="s">
        <v>43</v>
      </c>
      <c r="C145" t="str" cm="1">
        <f t="array" ref="C145">_xlfn.IFS(L145="Exceeds", "Top Performer", L145="Fully Meets", "Solid Performer", L145="Needs Improvement", "Underperformer", L145="PIP", "At Risk")</f>
        <v>Top Performer</v>
      </c>
      <c r="D145" t="str" cm="1">
        <f t="array" ref="D145">_xlfn.IFS(G145="Active", "Retained", G145="Voluntarily Terminated", "Voluntary Exit", G145="Terminated for Cause", "Involuntary Exit")</f>
        <v>Voluntary Exit</v>
      </c>
      <c r="E145" s="1">
        <v>43219</v>
      </c>
      <c r="F145" t="s">
        <v>200</v>
      </c>
      <c r="G145" t="s">
        <v>61</v>
      </c>
      <c r="H145" t="s">
        <v>53</v>
      </c>
      <c r="I145" t="s">
        <v>54</v>
      </c>
      <c r="J145">
        <v>22</v>
      </c>
      <c r="K145" t="s">
        <v>124</v>
      </c>
      <c r="L145" t="s">
        <v>56</v>
      </c>
      <c r="M145">
        <v>4.7</v>
      </c>
      <c r="N145">
        <v>4</v>
      </c>
    </row>
    <row r="146" spans="1:14">
      <c r="A146">
        <v>10156</v>
      </c>
      <c r="B146" t="s">
        <v>502</v>
      </c>
      <c r="C146" t="str" cm="1">
        <f t="array" ref="C146">_xlfn.IFS(L146="Exceeds", "Top Performer", L146="Fully Meets", "Solid Performer", L146="Needs Improvement", "Underperformer", L146="PIP", "At Risk")</f>
        <v>Solid Performer</v>
      </c>
      <c r="D146" t="str" cm="1">
        <f t="array" ref="D146">_xlfn.IFS(G146="Active", "Retained", G146="Voluntarily Terminated", "Voluntary Exit", G146="Terminated for Cause", "Involuntary Exit")</f>
        <v>Retained</v>
      </c>
      <c r="F146" t="s">
        <v>51</v>
      </c>
      <c r="G146" t="s">
        <v>52</v>
      </c>
      <c r="H146" t="s">
        <v>62</v>
      </c>
      <c r="I146" t="s">
        <v>63</v>
      </c>
      <c r="J146">
        <v>4</v>
      </c>
      <c r="K146" t="s">
        <v>64</v>
      </c>
      <c r="L146" t="s">
        <v>65</v>
      </c>
      <c r="M146">
        <v>3.75</v>
      </c>
      <c r="N146">
        <v>3</v>
      </c>
    </row>
    <row r="147" spans="1:14">
      <c r="A147">
        <v>10036</v>
      </c>
      <c r="B147" t="s">
        <v>43</v>
      </c>
      <c r="C147" t="str" cm="1">
        <f t="array" ref="C147">_xlfn.IFS(L147="Exceeds", "Top Performer", L147="Fully Meets", "Solid Performer", L147="Needs Improvement", "Underperformer", L147="PIP", "At Risk")</f>
        <v>Top Performer</v>
      </c>
      <c r="D147" t="str" cm="1">
        <f t="array" ref="D147">_xlfn.IFS(G147="Active", "Retained", G147="Voluntarily Terminated", "Voluntary Exit", G147="Terminated for Cause", "Involuntary Exit")</f>
        <v>Retained</v>
      </c>
      <c r="F147" t="s">
        <v>51</v>
      </c>
      <c r="G147" t="s">
        <v>52</v>
      </c>
      <c r="H147" t="s">
        <v>53</v>
      </c>
      <c r="I147" t="s">
        <v>90</v>
      </c>
      <c r="J147">
        <v>12</v>
      </c>
      <c r="K147" t="s">
        <v>55</v>
      </c>
      <c r="L147" t="s">
        <v>56</v>
      </c>
      <c r="M147">
        <v>4.3</v>
      </c>
      <c r="N147">
        <v>3</v>
      </c>
    </row>
    <row r="148" spans="1:14">
      <c r="A148">
        <v>10138</v>
      </c>
      <c r="B148" t="s">
        <v>43</v>
      </c>
      <c r="C148" t="str" cm="1">
        <f t="array" ref="C148">_xlfn.IFS(L148="Exceeds", "Top Performer", L148="Fully Meets", "Solid Performer", L148="Needs Improvement", "Underperformer", L148="PIP", "At Risk")</f>
        <v>Solid Performer</v>
      </c>
      <c r="D148" t="str" cm="1">
        <f t="array" ref="D148">_xlfn.IFS(G148="Active", "Retained", G148="Voluntarily Terminated", "Voluntary Exit", G148="Terminated for Cause", "Involuntary Exit")</f>
        <v>Voluntary Exit</v>
      </c>
      <c r="E148" s="1">
        <v>42461</v>
      </c>
      <c r="F148" t="s">
        <v>100</v>
      </c>
      <c r="G148" t="s">
        <v>61</v>
      </c>
      <c r="H148" t="s">
        <v>53</v>
      </c>
      <c r="I148" t="s">
        <v>72</v>
      </c>
      <c r="J148">
        <v>16</v>
      </c>
      <c r="K148" t="s">
        <v>124</v>
      </c>
      <c r="L148" t="s">
        <v>65</v>
      </c>
      <c r="M148">
        <v>4</v>
      </c>
      <c r="N148">
        <v>4</v>
      </c>
    </row>
    <row r="149" spans="1:14">
      <c r="A149">
        <v>10244</v>
      </c>
      <c r="B149" t="s">
        <v>43</v>
      </c>
      <c r="C149" t="str" cm="1">
        <f t="array" ref="C149">_xlfn.IFS(L149="Exceeds", "Top Performer", L149="Fully Meets", "Solid Performer", L149="Needs Improvement", "Underperformer", L149="PIP", "At Risk")</f>
        <v>Solid Performer</v>
      </c>
      <c r="D149" t="str" cm="1">
        <f t="array" ref="D149">_xlfn.IFS(G149="Active", "Retained", G149="Voluntarily Terminated", "Voluntary Exit", G149="Terminated for Cause", "Involuntary Exit")</f>
        <v>Voluntary Exit</v>
      </c>
      <c r="E149" s="1">
        <v>41753</v>
      </c>
      <c r="F149" t="s">
        <v>303</v>
      </c>
      <c r="G149" t="s">
        <v>61</v>
      </c>
      <c r="H149" t="s">
        <v>148</v>
      </c>
      <c r="I149" t="s">
        <v>189</v>
      </c>
      <c r="J149">
        <v>15</v>
      </c>
      <c r="K149" t="s">
        <v>77</v>
      </c>
      <c r="L149" t="s">
        <v>65</v>
      </c>
      <c r="M149">
        <v>4.5</v>
      </c>
      <c r="N149">
        <v>5</v>
      </c>
    </row>
    <row r="150" spans="1:14">
      <c r="A150">
        <v>10192</v>
      </c>
      <c r="B150" t="s">
        <v>43</v>
      </c>
      <c r="C150" t="str" cm="1">
        <f t="array" ref="C150">_xlfn.IFS(L150="Exceeds", "Top Performer", L150="Fully Meets", "Solid Performer", L150="Needs Improvement", "Underperformer", L150="PIP", "At Risk")</f>
        <v>Solid Performer</v>
      </c>
      <c r="D150" t="str" cm="1">
        <f t="array" ref="D150">_xlfn.IFS(G150="Active", "Retained", G150="Voluntarily Terminated", "Voluntary Exit", G150="Terminated for Cause", "Involuntary Exit")</f>
        <v>Retained</v>
      </c>
      <c r="F150" t="s">
        <v>51</v>
      </c>
      <c r="G150" t="s">
        <v>52</v>
      </c>
      <c r="H150" t="s">
        <v>53</v>
      </c>
      <c r="I150" t="s">
        <v>54</v>
      </c>
      <c r="J150">
        <v>22</v>
      </c>
      <c r="K150" t="s">
        <v>64</v>
      </c>
      <c r="L150" t="s">
        <v>65</v>
      </c>
      <c r="M150">
        <v>3.07</v>
      </c>
      <c r="N150">
        <v>4</v>
      </c>
    </row>
    <row r="151" spans="1:14">
      <c r="A151">
        <v>10231</v>
      </c>
      <c r="B151" t="s">
        <v>43</v>
      </c>
      <c r="C151" t="str" cm="1">
        <f t="array" ref="C151">_xlfn.IFS(L151="Exceeds", "Top Performer", L151="Fully Meets", "Solid Performer", L151="Needs Improvement", "Underperformer", L151="PIP", "At Risk")</f>
        <v>Solid Performer</v>
      </c>
      <c r="D151" t="str" cm="1">
        <f t="array" ref="D151">_xlfn.IFS(G151="Active", "Retained", G151="Voluntarily Terminated", "Voluntary Exit", G151="Terminated for Cause", "Involuntary Exit")</f>
        <v>Retained</v>
      </c>
      <c r="F151" t="s">
        <v>51</v>
      </c>
      <c r="G151" t="s">
        <v>52</v>
      </c>
      <c r="H151" t="s">
        <v>148</v>
      </c>
      <c r="I151" t="s">
        <v>167</v>
      </c>
      <c r="J151">
        <v>21</v>
      </c>
      <c r="K151" t="s">
        <v>64</v>
      </c>
      <c r="L151" t="s">
        <v>65</v>
      </c>
      <c r="M151">
        <v>4.3</v>
      </c>
      <c r="N151">
        <v>5</v>
      </c>
    </row>
    <row r="152" spans="1:14">
      <c r="A152">
        <v>10089</v>
      </c>
      <c r="B152" t="s">
        <v>502</v>
      </c>
      <c r="C152" t="str" cm="1">
        <f t="array" ref="C152">_xlfn.IFS(L152="Exceeds", "Top Performer", L152="Fully Meets", "Solid Performer", L152="Needs Improvement", "Underperformer", L152="PIP", "At Risk")</f>
        <v>Solid Performer</v>
      </c>
      <c r="D152" t="str" cm="1">
        <f t="array" ref="D152">_xlfn.IFS(G152="Active", "Retained", G152="Voluntarily Terminated", "Voluntary Exit", G152="Terminated for Cause", "Involuntary Exit")</f>
        <v>Retained</v>
      </c>
      <c r="F152" t="s">
        <v>51</v>
      </c>
      <c r="G152" t="s">
        <v>52</v>
      </c>
      <c r="H152" t="s">
        <v>309</v>
      </c>
      <c r="I152" t="s">
        <v>242</v>
      </c>
      <c r="J152">
        <v>9</v>
      </c>
      <c r="K152" t="s">
        <v>64</v>
      </c>
      <c r="L152" t="s">
        <v>65</v>
      </c>
      <c r="M152">
        <v>4.83</v>
      </c>
      <c r="N152">
        <v>3</v>
      </c>
    </row>
    <row r="153" spans="1:14">
      <c r="A153">
        <v>10166</v>
      </c>
      <c r="B153" t="s">
        <v>43</v>
      </c>
      <c r="C153" t="str" cm="1">
        <f t="array" ref="C153">_xlfn.IFS(L153="Exceeds", "Top Performer", L153="Fully Meets", "Solid Performer", L153="Needs Improvement", "Underperformer", L153="PIP", "At Risk")</f>
        <v>Solid Performer</v>
      </c>
      <c r="D153" t="str" cm="1">
        <f t="array" ref="D153">_xlfn.IFS(G153="Active", "Retained", G153="Voluntarily Terminated", "Voluntary Exit", G153="Terminated for Cause", "Involuntary Exit")</f>
        <v>Voluntary Exit</v>
      </c>
      <c r="E153" s="1">
        <v>42159</v>
      </c>
      <c r="F153" t="s">
        <v>200</v>
      </c>
      <c r="G153" t="s">
        <v>61</v>
      </c>
      <c r="H153" t="s">
        <v>53</v>
      </c>
      <c r="I153" t="s">
        <v>76</v>
      </c>
      <c r="J153">
        <v>39</v>
      </c>
      <c r="K153" t="s">
        <v>77</v>
      </c>
      <c r="L153" t="s">
        <v>65</v>
      </c>
      <c r="M153">
        <v>3.6</v>
      </c>
      <c r="N153">
        <v>5</v>
      </c>
    </row>
    <row r="154" spans="1:14">
      <c r="A154">
        <v>10170</v>
      </c>
      <c r="B154" t="s">
        <v>43</v>
      </c>
      <c r="C154" t="str" cm="1">
        <f t="array" ref="C154">_xlfn.IFS(L154="Exceeds", "Top Performer", L154="Fully Meets", "Solid Performer", L154="Needs Improvement", "Underperformer", L154="PIP", "At Risk")</f>
        <v>Solid Performer</v>
      </c>
      <c r="D154" t="str" cm="1">
        <f t="array" ref="D154">_xlfn.IFS(G154="Active", "Retained", G154="Voluntarily Terminated", "Voluntary Exit", G154="Terminated for Cause", "Involuntary Exit")</f>
        <v>Voluntary Exit</v>
      </c>
      <c r="E154" s="1">
        <v>41648</v>
      </c>
      <c r="F154" t="s">
        <v>200</v>
      </c>
      <c r="G154" t="s">
        <v>61</v>
      </c>
      <c r="H154" t="s">
        <v>53</v>
      </c>
      <c r="I154" t="s">
        <v>79</v>
      </c>
      <c r="J154">
        <v>11</v>
      </c>
      <c r="K154" t="s">
        <v>77</v>
      </c>
      <c r="L154" t="s">
        <v>65</v>
      </c>
      <c r="M154">
        <v>3.49</v>
      </c>
      <c r="N154">
        <v>4</v>
      </c>
    </row>
    <row r="155" spans="1:14">
      <c r="A155">
        <v>10208</v>
      </c>
      <c r="B155" t="s">
        <v>43</v>
      </c>
      <c r="C155" t="str" cm="1">
        <f t="array" ref="C155">_xlfn.IFS(L155="Exceeds", "Top Performer", L155="Fully Meets", "Solid Performer", L155="Needs Improvement", "Underperformer", L155="PIP", "At Risk")</f>
        <v>Solid Performer</v>
      </c>
      <c r="D155" t="str" cm="1">
        <f t="array" ref="D155">_xlfn.IFS(G155="Active", "Retained", G155="Voluntarily Terminated", "Voluntary Exit", G155="Terminated for Cause", "Involuntary Exit")</f>
        <v>Retained</v>
      </c>
      <c r="F155" t="s">
        <v>51</v>
      </c>
      <c r="G155" t="s">
        <v>52</v>
      </c>
      <c r="H155" t="s">
        <v>53</v>
      </c>
      <c r="I155" t="s">
        <v>86</v>
      </c>
      <c r="J155">
        <v>19</v>
      </c>
      <c r="K155" t="s">
        <v>55</v>
      </c>
      <c r="L155" t="s">
        <v>65</v>
      </c>
      <c r="M155">
        <v>3.1</v>
      </c>
      <c r="N155">
        <v>3</v>
      </c>
    </row>
    <row r="156" spans="1:14">
      <c r="A156">
        <v>10176</v>
      </c>
      <c r="B156" t="s">
        <v>43</v>
      </c>
      <c r="C156" t="str" cm="1">
        <f t="array" ref="C156">_xlfn.IFS(L156="Exceeds", "Top Performer", L156="Fully Meets", "Solid Performer", L156="Needs Improvement", "Underperformer", L156="PIP", "At Risk")</f>
        <v>Solid Performer</v>
      </c>
      <c r="D156" t="str" cm="1">
        <f t="array" ref="D156">_xlfn.IFS(G156="Active", "Retained", G156="Voluntarily Terminated", "Voluntary Exit", G156="Terminated for Cause", "Involuntary Exit")</f>
        <v>Retained</v>
      </c>
      <c r="F156" t="s">
        <v>51</v>
      </c>
      <c r="G156" t="s">
        <v>52</v>
      </c>
      <c r="H156" t="s">
        <v>53</v>
      </c>
      <c r="I156" t="s">
        <v>90</v>
      </c>
      <c r="J156">
        <v>12</v>
      </c>
      <c r="K156" t="s">
        <v>64</v>
      </c>
      <c r="L156" t="s">
        <v>65</v>
      </c>
      <c r="M156">
        <v>3.38</v>
      </c>
      <c r="N156">
        <v>3</v>
      </c>
    </row>
    <row r="157" spans="1:14">
      <c r="A157">
        <v>10165</v>
      </c>
      <c r="B157" t="s">
        <v>503</v>
      </c>
      <c r="C157" t="str" cm="1">
        <f t="array" ref="C157">_xlfn.IFS(L157="Exceeds", "Top Performer", L157="Fully Meets", "Solid Performer", L157="Needs Improvement", "Underperformer", L157="PIP", "At Risk")</f>
        <v>Solid Performer</v>
      </c>
      <c r="D157" t="str" cm="1">
        <f t="array" ref="D157">_xlfn.IFS(G157="Active", "Retained", G157="Voluntarily Terminated", "Voluntary Exit", G157="Terminated for Cause", "Involuntary Exit")</f>
        <v>Retained</v>
      </c>
      <c r="F157" t="s">
        <v>51</v>
      </c>
      <c r="G157" t="s">
        <v>52</v>
      </c>
      <c r="H157" t="s">
        <v>148</v>
      </c>
      <c r="I157" t="s">
        <v>149</v>
      </c>
      <c r="J157">
        <v>17</v>
      </c>
      <c r="K157" t="s">
        <v>91</v>
      </c>
      <c r="L157" t="s">
        <v>65</v>
      </c>
      <c r="M157">
        <v>3.65</v>
      </c>
      <c r="N157">
        <v>5</v>
      </c>
    </row>
    <row r="158" spans="1:14">
      <c r="A158">
        <v>10113</v>
      </c>
      <c r="B158" t="s">
        <v>503</v>
      </c>
      <c r="C158" t="str" cm="1">
        <f t="array" ref="C158">_xlfn.IFS(L158="Exceeds", "Top Performer", L158="Fully Meets", "Solid Performer", L158="Needs Improvement", "Underperformer", L158="PIP", "At Risk")</f>
        <v>Solid Performer</v>
      </c>
      <c r="D158" t="str" cm="1">
        <f t="array" ref="D158">_xlfn.IFS(G158="Active", "Retained", G158="Voluntarily Terminated", "Voluntary Exit", G158="Terminated for Cause", "Involuntary Exit")</f>
        <v>Retained</v>
      </c>
      <c r="F158" t="s">
        <v>51</v>
      </c>
      <c r="G158" t="s">
        <v>52</v>
      </c>
      <c r="H158" t="s">
        <v>62</v>
      </c>
      <c r="I158" t="s">
        <v>94</v>
      </c>
      <c r="J158">
        <v>7</v>
      </c>
      <c r="K158" t="s">
        <v>87</v>
      </c>
      <c r="L158" t="s">
        <v>65</v>
      </c>
      <c r="M158">
        <v>4.46</v>
      </c>
      <c r="N158">
        <v>5</v>
      </c>
    </row>
    <row r="159" spans="1:14">
      <c r="A159">
        <v>10092</v>
      </c>
      <c r="B159" t="s">
        <v>503</v>
      </c>
      <c r="C159" t="str" cm="1">
        <f t="array" ref="C159">_xlfn.IFS(L159="Exceeds", "Top Performer", L159="Fully Meets", "Solid Performer", L159="Needs Improvement", "Underperformer", L159="PIP", "At Risk")</f>
        <v>Solid Performer</v>
      </c>
      <c r="D159" t="str" cm="1">
        <f t="array" ref="D159">_xlfn.IFS(G159="Active", "Retained", G159="Voluntarily Terminated", "Voluntary Exit", G159="Terminated for Cause", "Involuntary Exit")</f>
        <v>Involuntary Exit</v>
      </c>
      <c r="E159" s="1">
        <v>42350</v>
      </c>
      <c r="F159" t="s">
        <v>110</v>
      </c>
      <c r="G159" t="s">
        <v>111</v>
      </c>
      <c r="H159" t="s">
        <v>53</v>
      </c>
      <c r="I159" t="s">
        <v>138</v>
      </c>
      <c r="J159">
        <v>2</v>
      </c>
      <c r="K159" t="s">
        <v>87</v>
      </c>
      <c r="L159" t="s">
        <v>65</v>
      </c>
      <c r="M159">
        <v>4.78</v>
      </c>
      <c r="N159">
        <v>4</v>
      </c>
    </row>
    <row r="160" spans="1:14">
      <c r="A160">
        <v>10106</v>
      </c>
      <c r="B160" t="s">
        <v>43</v>
      </c>
      <c r="C160" t="str" cm="1">
        <f t="array" ref="C160">_xlfn.IFS(L160="Exceeds", "Top Performer", L160="Fully Meets", "Solid Performer", L160="Needs Improvement", "Underperformer", L160="PIP", "At Risk")</f>
        <v>Solid Performer</v>
      </c>
      <c r="D160" t="str" cm="1">
        <f t="array" ref="D160">_xlfn.IFS(G160="Active", "Retained", G160="Voluntarily Terminated", "Voluntary Exit", G160="Terminated for Cause", "Involuntary Exit")</f>
        <v>Voluntary Exit</v>
      </c>
      <c r="E160" s="1">
        <v>41729</v>
      </c>
      <c r="F160" t="s">
        <v>97</v>
      </c>
      <c r="G160" t="s">
        <v>61</v>
      </c>
      <c r="H160" t="s">
        <v>53</v>
      </c>
      <c r="I160" t="s">
        <v>98</v>
      </c>
      <c r="J160">
        <v>14</v>
      </c>
      <c r="K160" t="s">
        <v>64</v>
      </c>
      <c r="L160" t="s">
        <v>65</v>
      </c>
      <c r="M160">
        <v>4.5199999999999996</v>
      </c>
      <c r="N160">
        <v>3</v>
      </c>
    </row>
    <row r="161" spans="1:14">
      <c r="A161">
        <v>10052</v>
      </c>
      <c r="B161" t="s">
        <v>43</v>
      </c>
      <c r="C161" t="str" cm="1">
        <f t="array" ref="C161">_xlfn.IFS(L161="Exceeds", "Top Performer", L161="Fully Meets", "Solid Performer", L161="Needs Improvement", "Underperformer", L161="PIP", "At Risk")</f>
        <v>Solid Performer</v>
      </c>
      <c r="D161" t="str" cm="1">
        <f t="array" ref="D161">_xlfn.IFS(G161="Active", "Retained", G161="Voluntarily Terminated", "Voluntary Exit", G161="Terminated for Cause", "Involuntary Exit")</f>
        <v>Retained</v>
      </c>
      <c r="F161" t="s">
        <v>51</v>
      </c>
      <c r="G161" t="s">
        <v>52</v>
      </c>
      <c r="H161" t="s">
        <v>53</v>
      </c>
      <c r="I161" t="s">
        <v>98</v>
      </c>
      <c r="J161">
        <v>14</v>
      </c>
      <c r="K161" t="s">
        <v>55</v>
      </c>
      <c r="L161" t="s">
        <v>65</v>
      </c>
      <c r="M161">
        <v>5</v>
      </c>
      <c r="N161">
        <v>5</v>
      </c>
    </row>
    <row r="162" spans="1:14">
      <c r="A162">
        <v>10038</v>
      </c>
      <c r="B162" t="s">
        <v>43</v>
      </c>
      <c r="C162" t="str" cm="1">
        <f t="array" ref="C162">_xlfn.IFS(L162="Exceeds", "Top Performer", L162="Fully Meets", "Solid Performer", L162="Needs Improvement", "Underperformer", L162="PIP", "At Risk")</f>
        <v>Solid Performer</v>
      </c>
      <c r="D162" t="str" cm="1">
        <f t="array" ref="D162">_xlfn.IFS(G162="Active", "Retained", G162="Voluntarily Terminated", "Voluntary Exit", G162="Terminated for Cause", "Involuntary Exit")</f>
        <v>Retained</v>
      </c>
      <c r="F162" t="s">
        <v>51</v>
      </c>
      <c r="G162" t="s">
        <v>52</v>
      </c>
      <c r="H162" t="s">
        <v>133</v>
      </c>
      <c r="I162" t="s">
        <v>134</v>
      </c>
      <c r="J162">
        <v>1</v>
      </c>
      <c r="K162" t="s">
        <v>208</v>
      </c>
      <c r="L162" t="s">
        <v>65</v>
      </c>
      <c r="M162">
        <v>5</v>
      </c>
      <c r="N162">
        <v>4</v>
      </c>
    </row>
    <row r="163" spans="1:14">
      <c r="A163">
        <v>10249</v>
      </c>
      <c r="B163" t="s">
        <v>43</v>
      </c>
      <c r="C163" t="str" cm="1">
        <f t="array" ref="C163">_xlfn.IFS(L163="Exceeds", "Top Performer", L163="Fully Meets", "Solid Performer", L163="Needs Improvement", "Underperformer", L163="PIP", "At Risk")</f>
        <v>Solid Performer</v>
      </c>
      <c r="D163" t="str" cm="1">
        <f t="array" ref="D163">_xlfn.IFS(G163="Active", "Retained", G163="Voluntarily Terminated", "Voluntary Exit", G163="Terminated for Cause", "Involuntary Exit")</f>
        <v>Voluntary Exit</v>
      </c>
      <c r="E163" s="1">
        <v>41379</v>
      </c>
      <c r="F163" t="s">
        <v>200</v>
      </c>
      <c r="G163" t="s">
        <v>61</v>
      </c>
      <c r="H163" t="s">
        <v>53</v>
      </c>
      <c r="I163" t="s">
        <v>70</v>
      </c>
      <c r="J163">
        <v>20</v>
      </c>
      <c r="K163" t="s">
        <v>77</v>
      </c>
      <c r="L163" t="s">
        <v>65</v>
      </c>
      <c r="M163">
        <v>4.9000000000000004</v>
      </c>
      <c r="N163">
        <v>3</v>
      </c>
    </row>
    <row r="164" spans="1:14">
      <c r="A164">
        <v>10232</v>
      </c>
      <c r="B164" t="s">
        <v>503</v>
      </c>
      <c r="C164" t="str" cm="1">
        <f t="array" ref="C164">_xlfn.IFS(L164="Exceeds", "Top Performer", L164="Fully Meets", "Solid Performer", L164="Needs Improvement", "Underperformer", L164="PIP", "At Risk")</f>
        <v>Solid Performer</v>
      </c>
      <c r="D164" t="str" cm="1">
        <f t="array" ref="D164">_xlfn.IFS(G164="Active", "Retained", G164="Voluntarily Terminated", "Voluntary Exit", G164="Terminated for Cause", "Involuntary Exit")</f>
        <v>Retained</v>
      </c>
      <c r="F164" t="s">
        <v>51</v>
      </c>
      <c r="G164" t="s">
        <v>52</v>
      </c>
      <c r="H164" t="s">
        <v>62</v>
      </c>
      <c r="I164" t="s">
        <v>204</v>
      </c>
      <c r="J164">
        <v>13</v>
      </c>
      <c r="K164" t="s">
        <v>64</v>
      </c>
      <c r="L164" t="s">
        <v>65</v>
      </c>
      <c r="M164">
        <v>4.0999999999999996</v>
      </c>
      <c r="N164">
        <v>5</v>
      </c>
    </row>
    <row r="165" spans="1:14">
      <c r="A165">
        <v>10087</v>
      </c>
      <c r="B165" t="s">
        <v>43</v>
      </c>
      <c r="C165" t="str" cm="1">
        <f t="array" ref="C165">_xlfn.IFS(L165="Exceeds", "Top Performer", L165="Fully Meets", "Solid Performer", L165="Needs Improvement", "Underperformer", L165="PIP", "At Risk")</f>
        <v>Solid Performer</v>
      </c>
      <c r="D165" t="str" cm="1">
        <f t="array" ref="D165">_xlfn.IFS(G165="Active", "Retained", G165="Voluntarily Terminated", "Voluntary Exit", G165="Terminated for Cause", "Involuntary Exit")</f>
        <v>Voluntary Exit</v>
      </c>
      <c r="E165" s="1">
        <v>43331</v>
      </c>
      <c r="F165" t="s">
        <v>75</v>
      </c>
      <c r="G165" t="s">
        <v>61</v>
      </c>
      <c r="H165" t="s">
        <v>53</v>
      </c>
      <c r="I165" t="s">
        <v>70</v>
      </c>
      <c r="J165">
        <v>20</v>
      </c>
      <c r="K165" t="s">
        <v>124</v>
      </c>
      <c r="L165" t="s">
        <v>65</v>
      </c>
      <c r="M165">
        <v>4.88</v>
      </c>
      <c r="N165">
        <v>3</v>
      </c>
    </row>
    <row r="166" spans="1:14">
      <c r="A166">
        <v>10134</v>
      </c>
      <c r="B166" t="s">
        <v>503</v>
      </c>
      <c r="C166" t="str" cm="1">
        <f t="array" ref="C166">_xlfn.IFS(L166="Exceeds", "Top Performer", L166="Fully Meets", "Solid Performer", L166="Needs Improvement", "Underperformer", L166="PIP", "At Risk")</f>
        <v>Solid Performer</v>
      </c>
      <c r="D166" t="str" cm="1">
        <f t="array" ref="D166">_xlfn.IFS(G166="Active", "Retained", G166="Voluntarily Terminated", "Voluntary Exit", G166="Terminated for Cause", "Involuntary Exit")</f>
        <v>Retained</v>
      </c>
      <c r="F166" t="s">
        <v>51</v>
      </c>
      <c r="G166" t="s">
        <v>52</v>
      </c>
      <c r="H166" t="s">
        <v>133</v>
      </c>
      <c r="I166" t="s">
        <v>138</v>
      </c>
      <c r="J166">
        <v>2</v>
      </c>
      <c r="K166" t="s">
        <v>124</v>
      </c>
      <c r="L166" t="s">
        <v>65</v>
      </c>
      <c r="M166">
        <v>4.0999999999999996</v>
      </c>
      <c r="N166">
        <v>4</v>
      </c>
    </row>
    <row r="167" spans="1:14">
      <c r="A167">
        <v>10251</v>
      </c>
      <c r="B167" t="s">
        <v>43</v>
      </c>
      <c r="C167" t="str" cm="1">
        <f t="array" ref="C167">_xlfn.IFS(L167="Exceeds", "Top Performer", L167="Fully Meets", "Solid Performer", L167="Needs Improvement", "Underperformer", L167="PIP", "At Risk")</f>
        <v>Solid Performer</v>
      </c>
      <c r="D167" t="str" cm="1">
        <f t="array" ref="D167">_xlfn.IFS(G167="Active", "Retained", G167="Voluntarily Terminated", "Voluntary Exit", G167="Terminated for Cause", "Involuntary Exit")</f>
        <v>Retained</v>
      </c>
      <c r="F167" t="s">
        <v>51</v>
      </c>
      <c r="G167" t="s">
        <v>52</v>
      </c>
      <c r="H167" t="s">
        <v>53</v>
      </c>
      <c r="I167" t="s">
        <v>72</v>
      </c>
      <c r="J167">
        <v>16</v>
      </c>
      <c r="K167" t="s">
        <v>77</v>
      </c>
      <c r="L167" t="s">
        <v>65</v>
      </c>
      <c r="M167">
        <v>4.0999999999999996</v>
      </c>
      <c r="N167">
        <v>3</v>
      </c>
    </row>
    <row r="168" spans="1:14">
      <c r="A168">
        <v>10103</v>
      </c>
      <c r="B168" t="s">
        <v>503</v>
      </c>
      <c r="C168" t="str" cm="1">
        <f t="array" ref="C168">_xlfn.IFS(L168="Exceeds", "Top Performer", L168="Fully Meets", "Solid Performer", L168="Needs Improvement", "Underperformer", L168="PIP", "At Risk")</f>
        <v>Solid Performer</v>
      </c>
      <c r="D168" t="str" cm="1">
        <f t="array" ref="D168">_xlfn.IFS(G168="Active", "Retained", G168="Voluntarily Terminated", "Voluntary Exit", G168="Terminated for Cause", "Involuntary Exit")</f>
        <v>Retained</v>
      </c>
      <c r="F168" t="s">
        <v>51</v>
      </c>
      <c r="G168" t="s">
        <v>52</v>
      </c>
      <c r="H168" t="s">
        <v>148</v>
      </c>
      <c r="I168" t="s">
        <v>149</v>
      </c>
      <c r="J168">
        <v>17</v>
      </c>
      <c r="K168" t="s">
        <v>208</v>
      </c>
      <c r="L168" t="s">
        <v>65</v>
      </c>
      <c r="M168">
        <v>4.53</v>
      </c>
      <c r="N168">
        <v>3</v>
      </c>
    </row>
    <row r="169" spans="1:14">
      <c r="A169">
        <v>10017</v>
      </c>
      <c r="B169" t="s">
        <v>503</v>
      </c>
      <c r="C169" t="str" cm="1">
        <f t="array" ref="C169">_xlfn.IFS(L169="Exceeds", "Top Performer", L169="Fully Meets", "Solid Performer", L169="Needs Improvement", "Underperformer", L169="PIP", "At Risk")</f>
        <v>Top Performer</v>
      </c>
      <c r="D169" t="str" cm="1">
        <f t="array" ref="D169">_xlfn.IFS(G169="Active", "Retained", G169="Voluntarily Terminated", "Voluntary Exit", G169="Terminated for Cause", "Involuntary Exit")</f>
        <v>Retained</v>
      </c>
      <c r="F169" t="s">
        <v>51</v>
      </c>
      <c r="G169" t="s">
        <v>52</v>
      </c>
      <c r="H169" t="s">
        <v>53</v>
      </c>
      <c r="I169" t="s">
        <v>138</v>
      </c>
      <c r="J169">
        <v>2</v>
      </c>
      <c r="K169" t="s">
        <v>208</v>
      </c>
      <c r="L169" t="s">
        <v>56</v>
      </c>
      <c r="M169">
        <v>4.0999999999999996</v>
      </c>
      <c r="N169">
        <v>3</v>
      </c>
    </row>
    <row r="170" spans="1:14">
      <c r="A170">
        <v>10186</v>
      </c>
      <c r="B170" t="s">
        <v>43</v>
      </c>
      <c r="C170" t="str" cm="1">
        <f t="array" ref="C170">_xlfn.IFS(L170="Exceeds", "Top Performer", L170="Fully Meets", "Solid Performer", L170="Needs Improvement", "Underperformer", L170="PIP", "At Risk")</f>
        <v>Solid Performer</v>
      </c>
      <c r="D170" t="str" cm="1">
        <f t="array" ref="D170">_xlfn.IFS(G170="Active", "Retained", G170="Voluntarily Terminated", "Voluntary Exit", G170="Terminated for Cause", "Involuntary Exit")</f>
        <v>Voluntary Exit</v>
      </c>
      <c r="E170" s="1">
        <v>43369</v>
      </c>
      <c r="F170" t="s">
        <v>100</v>
      </c>
      <c r="G170" t="s">
        <v>61</v>
      </c>
      <c r="H170" t="s">
        <v>53</v>
      </c>
      <c r="I170" t="s">
        <v>54</v>
      </c>
      <c r="J170">
        <v>22</v>
      </c>
      <c r="K170" t="s">
        <v>64</v>
      </c>
      <c r="L170" t="s">
        <v>65</v>
      </c>
      <c r="M170">
        <v>3.18</v>
      </c>
      <c r="N170">
        <v>4</v>
      </c>
    </row>
    <row r="171" spans="1:14">
      <c r="A171">
        <v>10137</v>
      </c>
      <c r="B171" t="s">
        <v>43</v>
      </c>
      <c r="C171" t="str" cm="1">
        <f t="array" ref="C171">_xlfn.IFS(L171="Exceeds", "Top Performer", L171="Fully Meets", "Solid Performer", L171="Needs Improvement", "Underperformer", L171="PIP", "At Risk")</f>
        <v>Solid Performer</v>
      </c>
      <c r="D171" t="str" cm="1">
        <f t="array" ref="D171">_xlfn.IFS(G171="Active", "Retained", G171="Voluntarily Terminated", "Voluntary Exit", G171="Terminated for Cause", "Involuntary Exit")</f>
        <v>Retained</v>
      </c>
      <c r="F171" t="s">
        <v>51</v>
      </c>
      <c r="G171" t="s">
        <v>52</v>
      </c>
      <c r="H171" t="s">
        <v>53</v>
      </c>
      <c r="I171" t="s">
        <v>106</v>
      </c>
      <c r="J171">
        <v>18</v>
      </c>
      <c r="K171" t="s">
        <v>55</v>
      </c>
      <c r="L171" t="s">
        <v>65</v>
      </c>
      <c r="M171">
        <v>4</v>
      </c>
      <c r="N171">
        <v>3</v>
      </c>
    </row>
    <row r="172" spans="1:14">
      <c r="A172">
        <v>10008</v>
      </c>
      <c r="B172" t="s">
        <v>43</v>
      </c>
      <c r="C172" t="str" cm="1">
        <f t="array" ref="C172">_xlfn.IFS(L172="Exceeds", "Top Performer", L172="Fully Meets", "Solid Performer", L172="Needs Improvement", "Underperformer", L172="PIP", "At Risk")</f>
        <v>Top Performer</v>
      </c>
      <c r="D172" t="str" cm="1">
        <f t="array" ref="D172">_xlfn.IFS(G172="Active", "Retained", G172="Voluntarily Terminated", "Voluntary Exit", G172="Terminated for Cause", "Involuntary Exit")</f>
        <v>Retained</v>
      </c>
      <c r="F172" t="s">
        <v>51</v>
      </c>
      <c r="G172" t="s">
        <v>52</v>
      </c>
      <c r="H172" t="s">
        <v>62</v>
      </c>
      <c r="I172" t="s">
        <v>173</v>
      </c>
      <c r="J172">
        <v>6</v>
      </c>
      <c r="K172" t="s">
        <v>91</v>
      </c>
      <c r="L172" t="s">
        <v>56</v>
      </c>
      <c r="M172">
        <v>4.6399999999999997</v>
      </c>
      <c r="N172">
        <v>4</v>
      </c>
    </row>
    <row r="173" spans="1:14">
      <c r="A173">
        <v>10096</v>
      </c>
      <c r="B173" t="s">
        <v>43</v>
      </c>
      <c r="C173" t="str" cm="1">
        <f t="array" ref="C173">_xlfn.IFS(L173="Exceeds", "Top Performer", L173="Fully Meets", "Solid Performer", L173="Needs Improvement", "Underperformer", L173="PIP", "At Risk")</f>
        <v>Solid Performer</v>
      </c>
      <c r="D173" t="str" cm="1">
        <f t="array" ref="D173">_xlfn.IFS(G173="Active", "Retained", G173="Voluntarily Terminated", "Voluntary Exit", G173="Terminated for Cause", "Involuntary Exit")</f>
        <v>Voluntary Exit</v>
      </c>
      <c r="E173" s="1">
        <v>42628</v>
      </c>
      <c r="F173" t="s">
        <v>200</v>
      </c>
      <c r="G173" t="s">
        <v>61</v>
      </c>
      <c r="H173" t="s">
        <v>53</v>
      </c>
      <c r="I173" t="s">
        <v>54</v>
      </c>
      <c r="J173">
        <v>22</v>
      </c>
      <c r="K173" t="s">
        <v>55</v>
      </c>
      <c r="L173" t="s">
        <v>65</v>
      </c>
      <c r="M173">
        <v>4.6500000000000004</v>
      </c>
      <c r="N173">
        <v>4</v>
      </c>
    </row>
    <row r="174" spans="1:14">
      <c r="A174">
        <v>10035</v>
      </c>
      <c r="B174" t="s">
        <v>503</v>
      </c>
      <c r="C174" t="str" cm="1">
        <f t="array" ref="C174">_xlfn.IFS(L174="Exceeds", "Top Performer", L174="Fully Meets", "Solid Performer", L174="Needs Improvement", "Underperformer", L174="PIP", "At Risk")</f>
        <v>Top Performer</v>
      </c>
      <c r="D174" t="str" cm="1">
        <f t="array" ref="D174">_xlfn.IFS(G174="Active", "Retained", G174="Voluntarily Terminated", "Voluntary Exit", G174="Terminated for Cause", "Involuntary Exit")</f>
        <v>Retained</v>
      </c>
      <c r="F174" t="s">
        <v>51</v>
      </c>
      <c r="G174" t="s">
        <v>52</v>
      </c>
      <c r="H174" t="s">
        <v>53</v>
      </c>
      <c r="I174" t="s">
        <v>72</v>
      </c>
      <c r="J174">
        <v>16</v>
      </c>
      <c r="K174" t="s">
        <v>64</v>
      </c>
      <c r="L174" t="s">
        <v>56</v>
      </c>
      <c r="M174">
        <v>4.2</v>
      </c>
      <c r="N174">
        <v>4</v>
      </c>
    </row>
    <row r="175" spans="1:14">
      <c r="A175">
        <v>10057</v>
      </c>
      <c r="B175" t="s">
        <v>43</v>
      </c>
      <c r="C175" t="str" cm="1">
        <f t="array" ref="C175">_xlfn.IFS(L175="Exceeds", "Top Performer", L175="Fully Meets", "Solid Performer", L175="Needs Improvement", "Underperformer", L175="PIP", "At Risk")</f>
        <v>Solid Performer</v>
      </c>
      <c r="D175" t="str" cm="1">
        <f t="array" ref="D175">_xlfn.IFS(G175="Active", "Retained", G175="Voluntarily Terminated", "Voluntary Exit", G175="Terminated for Cause", "Involuntary Exit")</f>
        <v>Retained</v>
      </c>
      <c r="F175" t="s">
        <v>51</v>
      </c>
      <c r="G175" t="s">
        <v>52</v>
      </c>
      <c r="H175" t="s">
        <v>53</v>
      </c>
      <c r="I175" t="s">
        <v>72</v>
      </c>
      <c r="J175">
        <v>16</v>
      </c>
      <c r="K175" t="s">
        <v>208</v>
      </c>
      <c r="L175" t="s">
        <v>65</v>
      </c>
      <c r="M175">
        <v>5</v>
      </c>
      <c r="N175">
        <v>3</v>
      </c>
    </row>
    <row r="176" spans="1:14">
      <c r="A176">
        <v>10004</v>
      </c>
      <c r="B176" t="s">
        <v>43</v>
      </c>
      <c r="C176" t="str" cm="1">
        <f t="array" ref="C176">_xlfn.IFS(L176="Exceeds", "Top Performer", L176="Fully Meets", "Solid Performer", L176="Needs Improvement", "Underperformer", L176="PIP", "At Risk")</f>
        <v>Top Performer</v>
      </c>
      <c r="D176" t="str" cm="1">
        <f t="array" ref="D176">_xlfn.IFS(G176="Active", "Retained", G176="Voluntarily Terminated", "Voluntary Exit", G176="Terminated for Cause", "Involuntary Exit")</f>
        <v>Voluntary Exit</v>
      </c>
      <c r="E176" s="1">
        <v>42322</v>
      </c>
      <c r="F176" t="s">
        <v>97</v>
      </c>
      <c r="G176" t="s">
        <v>61</v>
      </c>
      <c r="H176" t="s">
        <v>53</v>
      </c>
      <c r="I176" t="s">
        <v>76</v>
      </c>
      <c r="J176">
        <v>39</v>
      </c>
      <c r="K176" t="s">
        <v>91</v>
      </c>
      <c r="L176" t="s">
        <v>56</v>
      </c>
      <c r="M176">
        <v>5</v>
      </c>
      <c r="N176">
        <v>4</v>
      </c>
    </row>
    <row r="177" spans="1:14">
      <c r="A177">
        <v>10191</v>
      </c>
      <c r="B177" t="s">
        <v>43</v>
      </c>
      <c r="C177" t="str" cm="1">
        <f t="array" ref="C177">_xlfn.IFS(L177="Exceeds", "Top Performer", L177="Fully Meets", "Solid Performer", L177="Needs Improvement", "Underperformer", L177="PIP", "At Risk")</f>
        <v>Solid Performer</v>
      </c>
      <c r="D177" t="str" cm="1">
        <f t="array" ref="D177">_xlfn.IFS(G177="Active", "Retained", G177="Voluntarily Terminated", "Voluntary Exit", G177="Terminated for Cause", "Involuntary Exit")</f>
        <v>Voluntary Exit</v>
      </c>
      <c r="E177" s="1">
        <v>43004</v>
      </c>
      <c r="F177" t="s">
        <v>69</v>
      </c>
      <c r="G177" t="s">
        <v>61</v>
      </c>
      <c r="H177" t="s">
        <v>53</v>
      </c>
      <c r="I177" t="s">
        <v>79</v>
      </c>
      <c r="J177">
        <v>11</v>
      </c>
      <c r="K177" t="s">
        <v>64</v>
      </c>
      <c r="L177" t="s">
        <v>65</v>
      </c>
      <c r="M177">
        <v>3.08</v>
      </c>
      <c r="N177">
        <v>4</v>
      </c>
    </row>
    <row r="178" spans="1:14">
      <c r="A178">
        <v>10219</v>
      </c>
      <c r="B178" t="s">
        <v>43</v>
      </c>
      <c r="C178" t="str" cm="1">
        <f t="array" ref="C178">_xlfn.IFS(L178="Exceeds", "Top Performer", L178="Fully Meets", "Solid Performer", L178="Needs Improvement", "Underperformer", L178="PIP", "At Risk")</f>
        <v>Solid Performer</v>
      </c>
      <c r="D178" t="str" cm="1">
        <f t="array" ref="D178">_xlfn.IFS(G178="Active", "Retained", G178="Voluntarily Terminated", "Voluntary Exit", G178="Terminated for Cause", "Involuntary Exit")</f>
        <v>Retained</v>
      </c>
      <c r="F178" t="s">
        <v>51</v>
      </c>
      <c r="G178" t="s">
        <v>52</v>
      </c>
      <c r="H178" t="s">
        <v>53</v>
      </c>
      <c r="I178" t="s">
        <v>86</v>
      </c>
      <c r="J178">
        <v>19</v>
      </c>
      <c r="K178" t="s">
        <v>55</v>
      </c>
      <c r="L178" t="s">
        <v>65</v>
      </c>
      <c r="M178">
        <v>4.5999999999999996</v>
      </c>
      <c r="N178">
        <v>4</v>
      </c>
    </row>
    <row r="179" spans="1:14">
      <c r="A179">
        <v>10077</v>
      </c>
      <c r="B179" t="s">
        <v>43</v>
      </c>
      <c r="C179" t="str" cm="1">
        <f t="array" ref="C179">_xlfn.IFS(L179="Exceeds", "Top Performer", L179="Fully Meets", "Solid Performer", L179="Needs Improvement", "Underperformer", L179="PIP", "At Risk")</f>
        <v>Solid Performer</v>
      </c>
      <c r="D179" t="str" cm="1">
        <f t="array" ref="D179">_xlfn.IFS(G179="Active", "Retained", G179="Voluntarily Terminated", "Voluntary Exit", G179="Terminated for Cause", "Involuntary Exit")</f>
        <v>Retained</v>
      </c>
      <c r="F179" t="s">
        <v>51</v>
      </c>
      <c r="G179" t="s">
        <v>52</v>
      </c>
      <c r="H179" t="s">
        <v>53</v>
      </c>
      <c r="I179" t="s">
        <v>76</v>
      </c>
      <c r="K179" t="s">
        <v>55</v>
      </c>
      <c r="L179" t="s">
        <v>65</v>
      </c>
      <c r="M179">
        <v>5</v>
      </c>
      <c r="N179">
        <v>3</v>
      </c>
    </row>
    <row r="180" spans="1:14">
      <c r="A180">
        <v>10073</v>
      </c>
      <c r="B180" t="s">
        <v>43</v>
      </c>
      <c r="C180" t="str" cm="1">
        <f t="array" ref="C180">_xlfn.IFS(L180="Exceeds", "Top Performer", L180="Fully Meets", "Solid Performer", L180="Needs Improvement", "Underperformer", L180="PIP", "At Risk")</f>
        <v>Solid Performer</v>
      </c>
      <c r="D180" t="str" cm="1">
        <f t="array" ref="D180">_xlfn.IFS(G180="Active", "Retained", G180="Voluntarily Terminated", "Voluntary Exit", G180="Terminated for Cause", "Involuntary Exit")</f>
        <v>Voluntary Exit</v>
      </c>
      <c r="E180" s="1">
        <v>41140</v>
      </c>
      <c r="F180" t="s">
        <v>97</v>
      </c>
      <c r="G180" t="s">
        <v>61</v>
      </c>
      <c r="H180" t="s">
        <v>53</v>
      </c>
      <c r="I180" t="s">
        <v>79</v>
      </c>
      <c r="J180">
        <v>11</v>
      </c>
      <c r="K180" t="s">
        <v>55</v>
      </c>
      <c r="L180" t="s">
        <v>65</v>
      </c>
      <c r="M180">
        <v>5</v>
      </c>
      <c r="N180">
        <v>4</v>
      </c>
    </row>
    <row r="181" spans="1:14">
      <c r="A181">
        <v>10279</v>
      </c>
      <c r="B181" t="s">
        <v>43</v>
      </c>
      <c r="C181" t="str" cm="1">
        <f t="array" ref="C181">_xlfn.IFS(L181="Exceeds", "Top Performer", L181="Fully Meets", "Solid Performer", L181="Needs Improvement", "Underperformer", L181="PIP", "At Risk")</f>
        <v>Solid Performer</v>
      </c>
      <c r="D181" t="str" cm="1">
        <f t="array" ref="D181">_xlfn.IFS(G181="Active", "Retained", G181="Voluntarily Terminated", "Voluntary Exit", G181="Terminated for Cause", "Involuntary Exit")</f>
        <v>Retained</v>
      </c>
      <c r="F181" t="s">
        <v>51</v>
      </c>
      <c r="G181" t="s">
        <v>52</v>
      </c>
      <c r="H181" t="s">
        <v>53</v>
      </c>
      <c r="I181" t="s">
        <v>90</v>
      </c>
      <c r="J181">
        <v>12</v>
      </c>
      <c r="K181" t="s">
        <v>55</v>
      </c>
      <c r="L181" t="s">
        <v>65</v>
      </c>
      <c r="M181">
        <v>4.0999999999999996</v>
      </c>
      <c r="N181">
        <v>3</v>
      </c>
    </row>
    <row r="182" spans="1:14">
      <c r="A182">
        <v>10110</v>
      </c>
      <c r="B182" t="s">
        <v>502</v>
      </c>
      <c r="C182" t="str" cm="1">
        <f t="array" ref="C182">_xlfn.IFS(L182="Exceeds", "Top Performer", L182="Fully Meets", "Solid Performer", L182="Needs Improvement", "Underperformer", L182="PIP", "At Risk")</f>
        <v>Solid Performer</v>
      </c>
      <c r="D182" t="str" cm="1">
        <f t="array" ref="D182">_xlfn.IFS(G182="Active", "Retained", G182="Voluntarily Terminated", "Voluntary Exit", G182="Terminated for Cause", "Involuntary Exit")</f>
        <v>Retained</v>
      </c>
      <c r="F182" t="s">
        <v>51</v>
      </c>
      <c r="G182" t="s">
        <v>52</v>
      </c>
      <c r="H182" t="s">
        <v>82</v>
      </c>
      <c r="I182" t="s">
        <v>83</v>
      </c>
      <c r="J182">
        <v>10</v>
      </c>
      <c r="K182" t="s">
        <v>77</v>
      </c>
      <c r="L182" t="s">
        <v>65</v>
      </c>
      <c r="M182">
        <v>4.5</v>
      </c>
      <c r="N182">
        <v>5</v>
      </c>
    </row>
    <row r="183" spans="1:14">
      <c r="A183">
        <v>10053</v>
      </c>
      <c r="B183" t="s">
        <v>43</v>
      </c>
      <c r="C183" t="str" cm="1">
        <f t="array" ref="C183">_xlfn.IFS(L183="Exceeds", "Top Performer", L183="Fully Meets", "Solid Performer", L183="Needs Improvement", "Underperformer", L183="PIP", "At Risk")</f>
        <v>Solid Performer</v>
      </c>
      <c r="D183" t="str" cm="1">
        <f t="array" ref="D183">_xlfn.IFS(G183="Active", "Retained", G183="Voluntarily Terminated", "Voluntary Exit", G183="Terminated for Cause", "Involuntary Exit")</f>
        <v>Retained</v>
      </c>
      <c r="F183" t="s">
        <v>51</v>
      </c>
      <c r="G183" t="s">
        <v>52</v>
      </c>
      <c r="H183" t="s">
        <v>53</v>
      </c>
      <c r="I183" t="s">
        <v>98</v>
      </c>
      <c r="J183">
        <v>14</v>
      </c>
      <c r="K183" t="s">
        <v>64</v>
      </c>
      <c r="L183" t="s">
        <v>65</v>
      </c>
      <c r="M183">
        <v>5</v>
      </c>
      <c r="N183">
        <v>4</v>
      </c>
    </row>
    <row r="184" spans="1:14">
      <c r="A184">
        <v>10076</v>
      </c>
      <c r="B184" t="s">
        <v>43</v>
      </c>
      <c r="C184" t="str" cm="1">
        <f t="array" ref="C184">_xlfn.IFS(L184="Exceeds", "Top Performer", L184="Fully Meets", "Solid Performer", L184="Needs Improvement", "Underperformer", L184="PIP", "At Risk")</f>
        <v>Solid Performer</v>
      </c>
      <c r="D184" t="str" cm="1">
        <f t="array" ref="D184">_xlfn.IFS(G184="Active", "Retained", G184="Voluntarily Terminated", "Voluntary Exit", G184="Terminated for Cause", "Involuntary Exit")</f>
        <v>Retained</v>
      </c>
      <c r="F184" t="s">
        <v>51</v>
      </c>
      <c r="G184" t="s">
        <v>52</v>
      </c>
      <c r="H184" t="s">
        <v>53</v>
      </c>
      <c r="I184" t="s">
        <v>86</v>
      </c>
      <c r="J184">
        <v>19</v>
      </c>
      <c r="K184" t="s">
        <v>55</v>
      </c>
      <c r="L184" t="s">
        <v>65</v>
      </c>
      <c r="M184">
        <v>5</v>
      </c>
      <c r="N184">
        <v>5</v>
      </c>
    </row>
    <row r="185" spans="1:14">
      <c r="A185">
        <v>10145</v>
      </c>
      <c r="B185" t="s">
        <v>43</v>
      </c>
      <c r="C185" t="str" cm="1">
        <f t="array" ref="C185">_xlfn.IFS(L185="Exceeds", "Top Performer", L185="Fully Meets", "Solid Performer", L185="Needs Improvement", "Underperformer", L185="PIP", "At Risk")</f>
        <v>Solid Performer</v>
      </c>
      <c r="D185" t="str" cm="1">
        <f t="array" ref="D185">_xlfn.IFS(G185="Active", "Retained", G185="Voluntarily Terminated", "Voluntary Exit", G185="Terminated for Cause", "Involuntary Exit")</f>
        <v>Retained</v>
      </c>
      <c r="F185" t="s">
        <v>51</v>
      </c>
      <c r="G185" t="s">
        <v>52</v>
      </c>
      <c r="H185" t="s">
        <v>53</v>
      </c>
      <c r="I185" t="s">
        <v>70</v>
      </c>
      <c r="J185">
        <v>20</v>
      </c>
      <c r="K185" t="s">
        <v>124</v>
      </c>
      <c r="L185" t="s">
        <v>65</v>
      </c>
      <c r="M185">
        <v>3.93</v>
      </c>
      <c r="N185">
        <v>3</v>
      </c>
    </row>
    <row r="186" spans="1:14">
      <c r="A186">
        <v>10202</v>
      </c>
      <c r="B186" t="s">
        <v>43</v>
      </c>
      <c r="C186" t="str" cm="1">
        <f t="array" ref="C186">_xlfn.IFS(L186="Exceeds", "Top Performer", L186="Fully Meets", "Solid Performer", L186="Needs Improvement", "Underperformer", L186="PIP", "At Risk")</f>
        <v>Solid Performer</v>
      </c>
      <c r="D186" t="str" cm="1">
        <f t="array" ref="D186">_xlfn.IFS(G186="Active", "Retained", G186="Voluntarily Terminated", "Voluntary Exit", G186="Terminated for Cause", "Involuntary Exit")</f>
        <v>Retained</v>
      </c>
      <c r="F186" t="s">
        <v>51</v>
      </c>
      <c r="G186" t="s">
        <v>52</v>
      </c>
      <c r="H186" t="s">
        <v>148</v>
      </c>
      <c r="I186" t="s">
        <v>167</v>
      </c>
      <c r="J186">
        <v>21</v>
      </c>
      <c r="K186" t="s">
        <v>208</v>
      </c>
      <c r="L186" t="s">
        <v>65</v>
      </c>
      <c r="M186">
        <v>3.4</v>
      </c>
      <c r="N186">
        <v>4</v>
      </c>
    </row>
    <row r="187" spans="1:14">
      <c r="A187">
        <v>10128</v>
      </c>
      <c r="B187" t="s">
        <v>43</v>
      </c>
      <c r="C187" t="str" cm="1">
        <f t="array" ref="C187">_xlfn.IFS(L187="Exceeds", "Top Performer", L187="Fully Meets", "Solid Performer", L187="Needs Improvement", "Underperformer", L187="PIP", "At Risk")</f>
        <v>Solid Performer</v>
      </c>
      <c r="D187" t="str" cm="1">
        <f t="array" ref="D187">_xlfn.IFS(G187="Active", "Retained", G187="Voluntarily Terminated", "Voluntary Exit", G187="Terminated for Cause", "Involuntary Exit")</f>
        <v>Voluntary Exit</v>
      </c>
      <c r="E187" s="1">
        <v>42685</v>
      </c>
      <c r="F187" t="s">
        <v>97</v>
      </c>
      <c r="G187" t="s">
        <v>61</v>
      </c>
      <c r="H187" t="s">
        <v>53</v>
      </c>
      <c r="I187" t="s">
        <v>106</v>
      </c>
      <c r="J187">
        <v>18</v>
      </c>
      <c r="K187" t="s">
        <v>91</v>
      </c>
      <c r="L187" t="s">
        <v>65</v>
      </c>
      <c r="M187">
        <v>4.18</v>
      </c>
      <c r="N187">
        <v>4</v>
      </c>
    </row>
    <row r="188" spans="1:14">
      <c r="A188">
        <v>10068</v>
      </c>
      <c r="B188" t="s">
        <v>43</v>
      </c>
      <c r="C188" t="str" cm="1">
        <f t="array" ref="C188">_xlfn.IFS(L188="Exceeds", "Top Performer", L188="Fully Meets", "Solid Performer", L188="Needs Improvement", "Underperformer", L188="PIP", "At Risk")</f>
        <v>Solid Performer</v>
      </c>
      <c r="D188" t="str" cm="1">
        <f t="array" ref="D188">_xlfn.IFS(G188="Active", "Retained", G188="Voluntarily Terminated", "Voluntary Exit", G188="Terminated for Cause", "Involuntary Exit")</f>
        <v>Retained</v>
      </c>
      <c r="F188" t="s">
        <v>51</v>
      </c>
      <c r="G188" t="s">
        <v>52</v>
      </c>
      <c r="H188" t="s">
        <v>53</v>
      </c>
      <c r="I188" t="s">
        <v>54</v>
      </c>
      <c r="J188">
        <v>22</v>
      </c>
      <c r="K188" t="s">
        <v>124</v>
      </c>
      <c r="L188" t="s">
        <v>65</v>
      </c>
      <c r="M188">
        <v>5</v>
      </c>
      <c r="N188">
        <v>4</v>
      </c>
    </row>
    <row r="189" spans="1:14">
      <c r="A189">
        <v>10116</v>
      </c>
      <c r="B189" t="s">
        <v>503</v>
      </c>
      <c r="C189" t="str" cm="1">
        <f t="array" ref="C189">_xlfn.IFS(L189="Exceeds", "Top Performer", L189="Fully Meets", "Solid Performer", L189="Needs Improvement", "Underperformer", L189="PIP", "At Risk")</f>
        <v>Solid Performer</v>
      </c>
      <c r="D189" t="str" cm="1">
        <f t="array" ref="D189">_xlfn.IFS(G189="Active", "Retained", G189="Voluntarily Terminated", "Voluntary Exit", G189="Terminated for Cause", "Involuntary Exit")</f>
        <v>Retained</v>
      </c>
      <c r="F189" t="s">
        <v>51</v>
      </c>
      <c r="G189" t="s">
        <v>52</v>
      </c>
      <c r="H189" t="s">
        <v>53</v>
      </c>
      <c r="I189" t="s">
        <v>138</v>
      </c>
      <c r="J189">
        <v>2</v>
      </c>
      <c r="K189" t="s">
        <v>64</v>
      </c>
      <c r="L189" t="s">
        <v>65</v>
      </c>
      <c r="M189">
        <v>4.37</v>
      </c>
      <c r="N189">
        <v>3</v>
      </c>
    </row>
    <row r="190" spans="1:14">
      <c r="A190">
        <v>10298</v>
      </c>
      <c r="B190" t="s">
        <v>43</v>
      </c>
      <c r="C190" t="str" cm="1">
        <f t="array" ref="C190">_xlfn.IFS(L190="Exceeds", "Top Performer", L190="Fully Meets", "Solid Performer", L190="Needs Improvement", "Underperformer", L190="PIP", "At Risk")</f>
        <v>At Risk</v>
      </c>
      <c r="D190" t="str" cm="1">
        <f t="array" ref="D190">_xlfn.IFS(G190="Active", "Retained", G190="Voluntarily Terminated", "Voluntary Exit", G190="Terminated for Cause", "Involuntary Exit")</f>
        <v>Voluntary Exit</v>
      </c>
      <c r="E190" s="1">
        <v>41886</v>
      </c>
      <c r="F190" t="s">
        <v>100</v>
      </c>
      <c r="G190" t="s">
        <v>61</v>
      </c>
      <c r="H190" t="s">
        <v>53</v>
      </c>
      <c r="I190" t="s">
        <v>90</v>
      </c>
      <c r="J190">
        <v>12</v>
      </c>
      <c r="K190" t="s">
        <v>55</v>
      </c>
      <c r="L190" t="s">
        <v>198</v>
      </c>
      <c r="M190">
        <v>3</v>
      </c>
      <c r="N190">
        <v>2</v>
      </c>
    </row>
    <row r="191" spans="1:14">
      <c r="A191">
        <v>10213</v>
      </c>
      <c r="B191" t="s">
        <v>43</v>
      </c>
      <c r="C191" t="str" cm="1">
        <f t="array" ref="C191">_xlfn.IFS(L191="Exceeds", "Top Performer", L191="Fully Meets", "Solid Performer", L191="Needs Improvement", "Underperformer", L191="PIP", "At Risk")</f>
        <v>Solid Performer</v>
      </c>
      <c r="D191" t="str" cm="1">
        <f t="array" ref="D191">_xlfn.IFS(G191="Active", "Retained", G191="Voluntarily Terminated", "Voluntary Exit", G191="Terminated for Cause", "Involuntary Exit")</f>
        <v>Retained</v>
      </c>
      <c r="F191" t="s">
        <v>51</v>
      </c>
      <c r="G191" t="s">
        <v>52</v>
      </c>
      <c r="H191" t="s">
        <v>53</v>
      </c>
      <c r="I191" t="s">
        <v>98</v>
      </c>
      <c r="J191">
        <v>14</v>
      </c>
      <c r="K191" t="s">
        <v>55</v>
      </c>
      <c r="L191" t="s">
        <v>65</v>
      </c>
      <c r="M191">
        <v>3.7</v>
      </c>
      <c r="N191">
        <v>3</v>
      </c>
    </row>
    <row r="192" spans="1:14">
      <c r="A192">
        <v>10288</v>
      </c>
      <c r="B192" t="s">
        <v>502</v>
      </c>
      <c r="C192" t="str" cm="1">
        <f t="array" ref="C192">_xlfn.IFS(L192="Exceeds", "Top Performer", L192="Fully Meets", "Solid Performer", L192="Needs Improvement", "Underperformer", L192="PIP", "At Risk")</f>
        <v>Underperformer</v>
      </c>
      <c r="D192" t="str" cm="1">
        <f t="array" ref="D192">_xlfn.IFS(G192="Active", "Retained", G192="Voluntarily Terminated", "Voluntary Exit", G192="Terminated for Cause", "Involuntary Exit")</f>
        <v>Retained</v>
      </c>
      <c r="F192" t="s">
        <v>51</v>
      </c>
      <c r="G192" t="s">
        <v>52</v>
      </c>
      <c r="H192" t="s">
        <v>62</v>
      </c>
      <c r="I192" t="s">
        <v>154</v>
      </c>
      <c r="J192">
        <v>5</v>
      </c>
      <c r="K192" t="s">
        <v>91</v>
      </c>
      <c r="L192" t="s">
        <v>125</v>
      </c>
      <c r="M192">
        <v>2.39</v>
      </c>
      <c r="N192">
        <v>3</v>
      </c>
    </row>
    <row r="193" spans="1:14">
      <c r="A193">
        <v>10025</v>
      </c>
      <c r="B193" t="s">
        <v>503</v>
      </c>
      <c r="C193" t="str" cm="1">
        <f t="array" ref="C193">_xlfn.IFS(L193="Exceeds", "Top Performer", L193="Fully Meets", "Solid Performer", L193="Needs Improvement", "Underperformer", L193="PIP", "At Risk")</f>
        <v>Top Performer</v>
      </c>
      <c r="D193" t="str" cm="1">
        <f t="array" ref="D193">_xlfn.IFS(G193="Active", "Retained", G193="Voluntarily Terminated", "Voluntary Exit", G193="Terminated for Cause", "Involuntary Exit")</f>
        <v>Retained</v>
      </c>
      <c r="F193" t="s">
        <v>51</v>
      </c>
      <c r="G193" t="s">
        <v>52</v>
      </c>
      <c r="H193" t="s">
        <v>53</v>
      </c>
      <c r="I193" t="s">
        <v>70</v>
      </c>
      <c r="J193">
        <v>20</v>
      </c>
      <c r="K193" t="s">
        <v>64</v>
      </c>
      <c r="L193" t="s">
        <v>56</v>
      </c>
      <c r="M193">
        <v>4.7</v>
      </c>
      <c r="N193">
        <v>3</v>
      </c>
    </row>
    <row r="194" spans="1:14">
      <c r="A194">
        <v>10223</v>
      </c>
      <c r="B194" t="s">
        <v>503</v>
      </c>
      <c r="C194" t="str" cm="1">
        <f t="array" ref="C194">_xlfn.IFS(L194="Exceeds", "Top Performer", L194="Fully Meets", "Solid Performer", L194="Needs Improvement", "Underperformer", L194="PIP", "At Risk")</f>
        <v>Solid Performer</v>
      </c>
      <c r="D194" t="str" cm="1">
        <f t="array" ref="D194">_xlfn.IFS(G194="Active", "Retained", G194="Voluntarily Terminated", "Voluntary Exit", G194="Terminated for Cause", "Involuntary Exit")</f>
        <v>Retained</v>
      </c>
      <c r="F194" t="s">
        <v>51</v>
      </c>
      <c r="G194" t="s">
        <v>52</v>
      </c>
      <c r="H194" t="s">
        <v>53</v>
      </c>
      <c r="I194" t="s">
        <v>106</v>
      </c>
      <c r="J194">
        <v>18</v>
      </c>
      <c r="K194" t="s">
        <v>91</v>
      </c>
      <c r="L194" t="s">
        <v>65</v>
      </c>
      <c r="M194">
        <v>4.0999999999999996</v>
      </c>
      <c r="N194">
        <v>4</v>
      </c>
    </row>
    <row r="195" spans="1:14">
      <c r="A195">
        <v>10151</v>
      </c>
      <c r="B195" t="s">
        <v>43</v>
      </c>
      <c r="C195" t="str" cm="1">
        <f t="array" ref="C195">_xlfn.IFS(L195="Exceeds", "Top Performer", L195="Fully Meets", "Solid Performer", L195="Needs Improvement", "Underperformer", L195="PIP", "At Risk")</f>
        <v>Solid Performer</v>
      </c>
      <c r="D195" t="str" cm="1">
        <f t="array" ref="D195">_xlfn.IFS(G195="Active", "Retained", G195="Voluntarily Terminated", "Voluntary Exit", G195="Terminated for Cause", "Involuntary Exit")</f>
        <v>Retained</v>
      </c>
      <c r="F195" t="s">
        <v>51</v>
      </c>
      <c r="G195" t="s">
        <v>52</v>
      </c>
      <c r="H195" t="s">
        <v>62</v>
      </c>
      <c r="I195" t="s">
        <v>94</v>
      </c>
      <c r="J195">
        <v>7</v>
      </c>
      <c r="K195" t="s">
        <v>124</v>
      </c>
      <c r="L195" t="s">
        <v>65</v>
      </c>
      <c r="M195">
        <v>3.81</v>
      </c>
      <c r="N195">
        <v>3</v>
      </c>
    </row>
    <row r="196" spans="1:14">
      <c r="A196">
        <v>10254</v>
      </c>
      <c r="B196" t="s">
        <v>43</v>
      </c>
      <c r="C196" t="str" cm="1">
        <f t="array" ref="C196">_xlfn.IFS(L196="Exceeds", "Top Performer", L196="Fully Meets", "Solid Performer", L196="Needs Improvement", "Underperformer", L196="PIP", "At Risk")</f>
        <v>Solid Performer</v>
      </c>
      <c r="D196" t="str" cm="1">
        <f t="array" ref="D196">_xlfn.IFS(G196="Active", "Retained", G196="Voluntarily Terminated", "Voluntary Exit", G196="Terminated for Cause", "Involuntary Exit")</f>
        <v>Retained</v>
      </c>
      <c r="F196" t="s">
        <v>51</v>
      </c>
      <c r="G196" t="s">
        <v>52</v>
      </c>
      <c r="H196" t="s">
        <v>53</v>
      </c>
      <c r="I196" t="s">
        <v>72</v>
      </c>
      <c r="J196">
        <v>16</v>
      </c>
      <c r="K196" t="s">
        <v>55</v>
      </c>
      <c r="L196" t="s">
        <v>65</v>
      </c>
      <c r="M196">
        <v>4.4000000000000004</v>
      </c>
      <c r="N196">
        <v>4</v>
      </c>
    </row>
    <row r="197" spans="1:14">
      <c r="A197">
        <v>10120</v>
      </c>
      <c r="B197" t="s">
        <v>503</v>
      </c>
      <c r="C197" t="str" cm="1">
        <f t="array" ref="C197">_xlfn.IFS(L197="Exceeds", "Top Performer", L197="Fully Meets", "Solid Performer", L197="Needs Improvement", "Underperformer", L197="PIP", "At Risk")</f>
        <v>Solid Performer</v>
      </c>
      <c r="D197" t="str" cm="1">
        <f t="array" ref="D197">_xlfn.IFS(G197="Active", "Retained", G197="Voluntarily Terminated", "Voluntary Exit", G197="Terminated for Cause", "Involuntary Exit")</f>
        <v>Retained</v>
      </c>
      <c r="F197" t="s">
        <v>51</v>
      </c>
      <c r="G197" t="s">
        <v>52</v>
      </c>
      <c r="H197" t="s">
        <v>53</v>
      </c>
      <c r="I197" t="s">
        <v>54</v>
      </c>
      <c r="J197">
        <v>22</v>
      </c>
      <c r="K197" t="s">
        <v>55</v>
      </c>
      <c r="L197" t="s">
        <v>65</v>
      </c>
      <c r="M197">
        <v>4.29</v>
      </c>
      <c r="N197">
        <v>5</v>
      </c>
    </row>
    <row r="198" spans="1:14">
      <c r="A198">
        <v>10216</v>
      </c>
      <c r="B198" t="s">
        <v>43</v>
      </c>
      <c r="C198" t="str" cm="1">
        <f t="array" ref="C198">_xlfn.IFS(L198="Exceeds", "Top Performer", L198="Fully Meets", "Solid Performer", L198="Needs Improvement", "Underperformer", L198="PIP", "At Risk")</f>
        <v>Solid Performer</v>
      </c>
      <c r="D198" t="str" cm="1">
        <f t="array" ref="D198">_xlfn.IFS(G198="Active", "Retained", G198="Voluntarily Terminated", "Voluntary Exit", G198="Terminated for Cause", "Involuntary Exit")</f>
        <v>Retained</v>
      </c>
      <c r="F198" t="s">
        <v>51</v>
      </c>
      <c r="G198" t="s">
        <v>52</v>
      </c>
      <c r="H198" t="s">
        <v>53</v>
      </c>
      <c r="I198" t="s">
        <v>70</v>
      </c>
      <c r="J198">
        <v>20</v>
      </c>
      <c r="K198" t="s">
        <v>55</v>
      </c>
      <c r="L198" t="s">
        <v>65</v>
      </c>
      <c r="M198">
        <v>4.0999999999999996</v>
      </c>
      <c r="N198">
        <v>4</v>
      </c>
    </row>
    <row r="199" spans="1:14">
      <c r="A199">
        <v>10079</v>
      </c>
      <c r="B199" t="s">
        <v>503</v>
      </c>
      <c r="C199" t="str" cm="1">
        <f t="array" ref="C199">_xlfn.IFS(L199="Exceeds", "Top Performer", L199="Fully Meets", "Solid Performer", L199="Needs Improvement", "Underperformer", L199="PIP", "At Risk")</f>
        <v>Solid Performer</v>
      </c>
      <c r="D199" t="str" cm="1">
        <f t="array" ref="D199">_xlfn.IFS(G199="Active", "Retained", G199="Voluntarily Terminated", "Voluntary Exit", G199="Terminated for Cause", "Involuntary Exit")</f>
        <v>Retained</v>
      </c>
      <c r="F199" t="s">
        <v>51</v>
      </c>
      <c r="G199" t="s">
        <v>52</v>
      </c>
      <c r="H199" t="s">
        <v>62</v>
      </c>
      <c r="I199" t="s">
        <v>204</v>
      </c>
      <c r="J199">
        <v>13</v>
      </c>
      <c r="K199" t="s">
        <v>64</v>
      </c>
      <c r="L199" t="s">
        <v>65</v>
      </c>
      <c r="M199">
        <v>5</v>
      </c>
      <c r="N199">
        <v>3</v>
      </c>
    </row>
    <row r="200" spans="1:14">
      <c r="A200">
        <v>10215</v>
      </c>
      <c r="B200" t="s">
        <v>43</v>
      </c>
      <c r="C200" t="str" cm="1">
        <f t="array" ref="C200">_xlfn.IFS(L200="Exceeds", "Top Performer", L200="Fully Meets", "Solid Performer", L200="Needs Improvement", "Underperformer", L200="PIP", "At Risk")</f>
        <v>Solid Performer</v>
      </c>
      <c r="D200" t="str" cm="1">
        <f t="array" ref="D200">_xlfn.IFS(G200="Active", "Retained", G200="Voluntarily Terminated", "Voluntary Exit", G200="Terminated for Cause", "Involuntary Exit")</f>
        <v>Voluntary Exit</v>
      </c>
      <c r="E200" s="1">
        <v>41733</v>
      </c>
      <c r="F200" t="s">
        <v>75</v>
      </c>
      <c r="G200" t="s">
        <v>61</v>
      </c>
      <c r="H200" t="s">
        <v>53</v>
      </c>
      <c r="I200" t="s">
        <v>76</v>
      </c>
      <c r="J200">
        <v>39</v>
      </c>
      <c r="K200" t="s">
        <v>91</v>
      </c>
      <c r="L200" t="s">
        <v>65</v>
      </c>
      <c r="M200">
        <v>4.3</v>
      </c>
      <c r="N200">
        <v>3</v>
      </c>
    </row>
    <row r="201" spans="1:14">
      <c r="A201">
        <v>10185</v>
      </c>
      <c r="B201" t="s">
        <v>43</v>
      </c>
      <c r="C201" t="str" cm="1">
        <f t="array" ref="C201">_xlfn.IFS(L201="Exceeds", "Top Performer", L201="Fully Meets", "Solid Performer", L201="Needs Improvement", "Underperformer", L201="PIP", "At Risk")</f>
        <v>Solid Performer</v>
      </c>
      <c r="D201" t="str" cm="1">
        <f t="array" ref="D201">_xlfn.IFS(G201="Active", "Retained", G201="Voluntarily Terminated", "Voluntary Exit", G201="Terminated for Cause", "Involuntary Exit")</f>
        <v>Voluntary Exit</v>
      </c>
      <c r="E201" s="1">
        <v>42515</v>
      </c>
      <c r="F201" t="s">
        <v>200</v>
      </c>
      <c r="G201" t="s">
        <v>61</v>
      </c>
      <c r="H201" t="s">
        <v>53</v>
      </c>
      <c r="I201" t="s">
        <v>79</v>
      </c>
      <c r="J201">
        <v>11</v>
      </c>
      <c r="K201" t="s">
        <v>87</v>
      </c>
      <c r="L201" t="s">
        <v>65</v>
      </c>
      <c r="M201">
        <v>3.18</v>
      </c>
      <c r="N201">
        <v>3</v>
      </c>
    </row>
    <row r="202" spans="1:14">
      <c r="A202">
        <v>10063</v>
      </c>
      <c r="B202" t="s">
        <v>43</v>
      </c>
      <c r="C202" t="str" cm="1">
        <f t="array" ref="C202">_xlfn.IFS(L202="Exceeds", "Top Performer", L202="Fully Meets", "Solid Performer", L202="Needs Improvement", "Underperformer", L202="PIP", "At Risk")</f>
        <v>Solid Performer</v>
      </c>
      <c r="D202" t="str" cm="1">
        <f t="array" ref="D202">_xlfn.IFS(G202="Active", "Retained", G202="Voluntarily Terminated", "Voluntary Exit", G202="Terminated for Cause", "Involuntary Exit")</f>
        <v>Retained</v>
      </c>
      <c r="F202" t="s">
        <v>51</v>
      </c>
      <c r="G202" t="s">
        <v>52</v>
      </c>
      <c r="H202" t="s">
        <v>53</v>
      </c>
      <c r="I202" t="s">
        <v>86</v>
      </c>
      <c r="J202">
        <v>19</v>
      </c>
      <c r="K202" t="s">
        <v>55</v>
      </c>
      <c r="L202" t="s">
        <v>65</v>
      </c>
      <c r="M202">
        <v>5</v>
      </c>
      <c r="N202">
        <v>5</v>
      </c>
    </row>
    <row r="203" spans="1:14">
      <c r="A203">
        <v>10037</v>
      </c>
      <c r="B203" t="s">
        <v>43</v>
      </c>
      <c r="C203" t="str" cm="1">
        <f t="array" ref="C203">_xlfn.IFS(L203="Exceeds", "Top Performer", L203="Fully Meets", "Solid Performer", L203="Needs Improvement", "Underperformer", L203="PIP", "At Risk")</f>
        <v>Top Performer</v>
      </c>
      <c r="D203" t="str" cm="1">
        <f t="array" ref="D203">_xlfn.IFS(G203="Active", "Retained", G203="Voluntarily Terminated", "Voluntary Exit", G203="Terminated for Cause", "Involuntary Exit")</f>
        <v>Retained</v>
      </c>
      <c r="F203" t="s">
        <v>51</v>
      </c>
      <c r="G203" t="s">
        <v>52</v>
      </c>
      <c r="H203" t="s">
        <v>53</v>
      </c>
      <c r="I203" t="s">
        <v>90</v>
      </c>
      <c r="J203">
        <v>12</v>
      </c>
      <c r="K203" t="s">
        <v>91</v>
      </c>
      <c r="L203" t="s">
        <v>56</v>
      </c>
      <c r="M203">
        <v>4</v>
      </c>
      <c r="N203">
        <v>3</v>
      </c>
    </row>
    <row r="204" spans="1:14">
      <c r="A204">
        <v>10042</v>
      </c>
      <c r="B204" t="s">
        <v>43</v>
      </c>
      <c r="C204" t="str" cm="1">
        <f t="array" ref="C204">_xlfn.IFS(L204="Exceeds", "Top Performer", L204="Fully Meets", "Solid Performer", L204="Needs Improvement", "Underperformer", L204="PIP", "At Risk")</f>
        <v>Solid Performer</v>
      </c>
      <c r="D204" t="str" cm="1">
        <f t="array" ref="D204">_xlfn.IFS(G204="Active", "Retained", G204="Voluntarily Terminated", "Voluntary Exit", G204="Terminated for Cause", "Involuntary Exit")</f>
        <v>Retained</v>
      </c>
      <c r="F204" t="s">
        <v>51</v>
      </c>
      <c r="G204" t="s">
        <v>52</v>
      </c>
      <c r="H204" t="s">
        <v>148</v>
      </c>
      <c r="I204" t="s">
        <v>167</v>
      </c>
      <c r="J204">
        <v>21</v>
      </c>
      <c r="K204" t="s">
        <v>64</v>
      </c>
      <c r="L204" t="s">
        <v>65</v>
      </c>
      <c r="M204">
        <v>5</v>
      </c>
      <c r="N204">
        <v>5</v>
      </c>
    </row>
    <row r="205" spans="1:14">
      <c r="A205">
        <v>10206</v>
      </c>
      <c r="B205" t="s">
        <v>43</v>
      </c>
      <c r="C205" t="str" cm="1">
        <f t="array" ref="C205">_xlfn.IFS(L205="Exceeds", "Top Performer", L205="Fully Meets", "Solid Performer", L205="Needs Improvement", "Underperformer", L205="PIP", "At Risk")</f>
        <v>Solid Performer</v>
      </c>
      <c r="D205" t="str" cm="1">
        <f t="array" ref="D205">_xlfn.IFS(G205="Active", "Retained", G205="Voluntarily Terminated", "Voluntary Exit", G205="Terminated for Cause", "Involuntary Exit")</f>
        <v>Retained</v>
      </c>
      <c r="F205" t="s">
        <v>51</v>
      </c>
      <c r="G205" t="s">
        <v>52</v>
      </c>
      <c r="H205" t="s">
        <v>53</v>
      </c>
      <c r="I205" t="s">
        <v>98</v>
      </c>
      <c r="J205">
        <v>14</v>
      </c>
      <c r="K205" t="s">
        <v>55</v>
      </c>
      <c r="L205" t="s">
        <v>65</v>
      </c>
      <c r="M205">
        <v>3.6</v>
      </c>
      <c r="N205">
        <v>5</v>
      </c>
    </row>
    <row r="206" spans="1:14">
      <c r="A206">
        <v>10104</v>
      </c>
      <c r="B206" t="s">
        <v>43</v>
      </c>
      <c r="C206" t="str" cm="1">
        <f t="array" ref="C206">_xlfn.IFS(L206="Exceeds", "Top Performer", L206="Fully Meets", "Solid Performer", L206="Needs Improvement", "Underperformer", L206="PIP", "At Risk")</f>
        <v>Solid Performer</v>
      </c>
      <c r="D206" t="str" cm="1">
        <f t="array" ref="D206">_xlfn.IFS(G206="Active", "Retained", G206="Voluntarily Terminated", "Voluntary Exit", G206="Terminated for Cause", "Involuntary Exit")</f>
        <v>Retained</v>
      </c>
      <c r="F206" t="s">
        <v>51</v>
      </c>
      <c r="G206" t="s">
        <v>52</v>
      </c>
      <c r="H206" t="s">
        <v>53</v>
      </c>
      <c r="I206" t="s">
        <v>72</v>
      </c>
      <c r="J206">
        <v>16</v>
      </c>
      <c r="K206" t="s">
        <v>64</v>
      </c>
      <c r="L206" t="s">
        <v>65</v>
      </c>
      <c r="M206">
        <v>4.53</v>
      </c>
      <c r="N206">
        <v>5</v>
      </c>
    </row>
    <row r="207" spans="1:14">
      <c r="A207">
        <v>10303</v>
      </c>
      <c r="B207" t="s">
        <v>43</v>
      </c>
      <c r="C207" t="str" cm="1">
        <f t="array" ref="C207">_xlfn.IFS(L207="Exceeds", "Top Performer", L207="Fully Meets", "Solid Performer", L207="Needs Improvement", "Underperformer", L207="PIP", "At Risk")</f>
        <v>At Risk</v>
      </c>
      <c r="D207" t="str" cm="1">
        <f t="array" ref="D207">_xlfn.IFS(G207="Active", "Retained", G207="Voluntarily Terminated", "Voluntary Exit", G207="Terminated for Cause", "Involuntary Exit")</f>
        <v>Involuntary Exit</v>
      </c>
      <c r="E207" s="1">
        <v>43221</v>
      </c>
      <c r="F207" t="s">
        <v>117</v>
      </c>
      <c r="G207" t="s">
        <v>111</v>
      </c>
      <c r="H207" t="s">
        <v>53</v>
      </c>
      <c r="I207" t="s">
        <v>70</v>
      </c>
      <c r="J207">
        <v>20</v>
      </c>
      <c r="K207" t="s">
        <v>55</v>
      </c>
      <c r="L207" t="s">
        <v>198</v>
      </c>
      <c r="M207">
        <v>2.33</v>
      </c>
      <c r="N207">
        <v>2</v>
      </c>
    </row>
    <row r="208" spans="1:14">
      <c r="A208">
        <v>10078</v>
      </c>
      <c r="B208" t="s">
        <v>503</v>
      </c>
      <c r="C208" t="str" cm="1">
        <f t="array" ref="C208">_xlfn.IFS(L208="Exceeds", "Top Performer", L208="Fully Meets", "Solid Performer", L208="Needs Improvement", "Underperformer", L208="PIP", "At Risk")</f>
        <v>Solid Performer</v>
      </c>
      <c r="D208" t="str" cm="1">
        <f t="array" ref="D208">_xlfn.IFS(G208="Active", "Retained", G208="Voluntarily Terminated", "Voluntary Exit", G208="Terminated for Cause", "Involuntary Exit")</f>
        <v>Voluntary Exit</v>
      </c>
      <c r="E208" s="1">
        <v>41505</v>
      </c>
      <c r="F208" t="s">
        <v>100</v>
      </c>
      <c r="G208" t="s">
        <v>61</v>
      </c>
      <c r="H208" t="s">
        <v>53</v>
      </c>
      <c r="I208" t="s">
        <v>76</v>
      </c>
      <c r="J208">
        <v>39</v>
      </c>
      <c r="K208" t="s">
        <v>55</v>
      </c>
      <c r="L208" t="s">
        <v>65</v>
      </c>
      <c r="M208">
        <v>5</v>
      </c>
      <c r="N208">
        <v>3</v>
      </c>
    </row>
    <row r="209" spans="1:14">
      <c r="A209">
        <v>10121</v>
      </c>
      <c r="B209" t="s">
        <v>43</v>
      </c>
      <c r="C209" t="str" cm="1">
        <f t="array" ref="C209">_xlfn.IFS(L209="Exceeds", "Top Performer", L209="Fully Meets", "Solid Performer", L209="Needs Improvement", "Underperformer", L209="PIP", "At Risk")</f>
        <v>Solid Performer</v>
      </c>
      <c r="D209" t="str" cm="1">
        <f t="array" ref="D209">_xlfn.IFS(G209="Active", "Retained", G209="Voluntarily Terminated", "Voluntary Exit", G209="Terminated for Cause", "Involuntary Exit")</f>
        <v>Retained</v>
      </c>
      <c r="F209" t="s">
        <v>51</v>
      </c>
      <c r="G209" t="s">
        <v>52</v>
      </c>
      <c r="H209" t="s">
        <v>148</v>
      </c>
      <c r="I209" t="s">
        <v>167</v>
      </c>
      <c r="J209">
        <v>21</v>
      </c>
      <c r="K209" t="s">
        <v>64</v>
      </c>
      <c r="L209" t="s">
        <v>65</v>
      </c>
      <c r="M209">
        <v>4.28</v>
      </c>
      <c r="N209">
        <v>3</v>
      </c>
    </row>
    <row r="210" spans="1:14">
      <c r="A210">
        <v>10021</v>
      </c>
      <c r="B210" t="s">
        <v>43</v>
      </c>
      <c r="C210" t="str" cm="1">
        <f t="array" ref="C210">_xlfn.IFS(L210="Exceeds", "Top Performer", L210="Fully Meets", "Solid Performer", L210="Needs Improvement", "Underperformer", L210="PIP", "At Risk")</f>
        <v>Top Performer</v>
      </c>
      <c r="D210" t="str" cm="1">
        <f t="array" ref="D210">_xlfn.IFS(G210="Active", "Retained", G210="Voluntarily Terminated", "Voluntary Exit", G210="Terminated for Cause", "Involuntary Exit")</f>
        <v>Retained</v>
      </c>
      <c r="F210" t="s">
        <v>51</v>
      </c>
      <c r="G210" t="s">
        <v>52</v>
      </c>
      <c r="H210" t="s">
        <v>53</v>
      </c>
      <c r="I210" t="s">
        <v>106</v>
      </c>
      <c r="J210">
        <v>18</v>
      </c>
      <c r="K210" t="s">
        <v>55</v>
      </c>
      <c r="L210" t="s">
        <v>56</v>
      </c>
      <c r="M210">
        <v>5</v>
      </c>
      <c r="N210">
        <v>3</v>
      </c>
    </row>
    <row r="211" spans="1:14">
      <c r="A211">
        <v>10281</v>
      </c>
      <c r="B211" t="s">
        <v>43</v>
      </c>
      <c r="C211" t="str" cm="1">
        <f t="array" ref="C211">_xlfn.IFS(L211="Exceeds", "Top Performer", L211="Fully Meets", "Solid Performer", L211="Needs Improvement", "Underperformer", L211="PIP", "At Risk")</f>
        <v>Underperformer</v>
      </c>
      <c r="D211" t="str" cm="1">
        <f t="array" ref="D211">_xlfn.IFS(G211="Active", "Retained", G211="Voluntarily Terminated", "Voluntary Exit", G211="Terminated for Cause", "Involuntary Exit")</f>
        <v>Retained</v>
      </c>
      <c r="F211" t="s">
        <v>51</v>
      </c>
      <c r="G211" t="s">
        <v>52</v>
      </c>
      <c r="H211" t="s">
        <v>53</v>
      </c>
      <c r="I211" t="s">
        <v>54</v>
      </c>
      <c r="J211">
        <v>22</v>
      </c>
      <c r="K211" t="s">
        <v>55</v>
      </c>
      <c r="L211" t="s">
        <v>125</v>
      </c>
      <c r="M211">
        <v>4.25</v>
      </c>
      <c r="N211">
        <v>3</v>
      </c>
    </row>
    <row r="212" spans="1:14">
      <c r="A212">
        <v>10041</v>
      </c>
      <c r="B212" t="s">
        <v>43</v>
      </c>
      <c r="C212" t="str" cm="1">
        <f t="array" ref="C212">_xlfn.IFS(L212="Exceeds", "Top Performer", L212="Fully Meets", "Solid Performer", L212="Needs Improvement", "Underperformer", L212="PIP", "At Risk")</f>
        <v>Solid Performer</v>
      </c>
      <c r="D212" t="str" cm="1">
        <f t="array" ref="D212">_xlfn.IFS(G212="Active", "Retained", G212="Voluntarily Terminated", "Voluntary Exit", G212="Terminated for Cause", "Involuntary Exit")</f>
        <v>Retained</v>
      </c>
      <c r="F212" t="s">
        <v>51</v>
      </c>
      <c r="G212" t="s">
        <v>52</v>
      </c>
      <c r="H212" t="s">
        <v>148</v>
      </c>
      <c r="I212" t="s">
        <v>149</v>
      </c>
      <c r="J212">
        <v>17</v>
      </c>
      <c r="K212" t="s">
        <v>208</v>
      </c>
      <c r="L212" t="s">
        <v>65</v>
      </c>
      <c r="M212">
        <v>5</v>
      </c>
      <c r="N212">
        <v>5</v>
      </c>
    </row>
    <row r="213" spans="1:14">
      <c r="A213">
        <v>10148</v>
      </c>
      <c r="B213" t="s">
        <v>43</v>
      </c>
      <c r="C213" t="str" cm="1">
        <f t="array" ref="C213">_xlfn.IFS(L213="Exceeds", "Top Performer", L213="Fully Meets", "Solid Performer", L213="Needs Improvement", "Underperformer", L213="PIP", "At Risk")</f>
        <v>Solid Performer</v>
      </c>
      <c r="D213" t="str" cm="1">
        <f t="array" ref="D213">_xlfn.IFS(G213="Active", "Retained", G213="Voluntarily Terminated", "Voluntary Exit", G213="Terminated for Cause", "Involuntary Exit")</f>
        <v>Voluntary Exit</v>
      </c>
      <c r="E213" s="1">
        <v>41651</v>
      </c>
      <c r="F213" t="s">
        <v>97</v>
      </c>
      <c r="G213" t="s">
        <v>61</v>
      </c>
      <c r="H213" t="s">
        <v>53</v>
      </c>
      <c r="I213" t="s">
        <v>72</v>
      </c>
      <c r="J213">
        <v>16</v>
      </c>
      <c r="K213" t="s">
        <v>77</v>
      </c>
      <c r="L213" t="s">
        <v>65</v>
      </c>
      <c r="M213">
        <v>3.89</v>
      </c>
      <c r="N213">
        <v>4</v>
      </c>
    </row>
    <row r="214" spans="1:14">
      <c r="A214">
        <v>10005</v>
      </c>
      <c r="B214" t="s">
        <v>502</v>
      </c>
      <c r="C214" t="str" cm="1">
        <f t="array" ref="C214">_xlfn.IFS(L214="Exceeds", "Top Performer", L214="Fully Meets", "Solid Performer", L214="Needs Improvement", "Underperformer", L214="PIP", "At Risk")</f>
        <v>Top Performer</v>
      </c>
      <c r="D214" t="str" cm="1">
        <f t="array" ref="D214">_xlfn.IFS(G214="Active", "Retained", G214="Voluntarily Terminated", "Voluntary Exit", G214="Terminated for Cause", "Involuntary Exit")</f>
        <v>Voluntary Exit</v>
      </c>
      <c r="E214" s="1">
        <v>42254</v>
      </c>
      <c r="F214" t="s">
        <v>97</v>
      </c>
      <c r="G214" t="s">
        <v>61</v>
      </c>
      <c r="H214" t="s">
        <v>82</v>
      </c>
      <c r="I214" t="s">
        <v>83</v>
      </c>
      <c r="J214">
        <v>10</v>
      </c>
      <c r="K214" t="s">
        <v>91</v>
      </c>
      <c r="L214" t="s">
        <v>56</v>
      </c>
      <c r="M214">
        <v>5</v>
      </c>
      <c r="N214">
        <v>5</v>
      </c>
    </row>
    <row r="215" spans="1:14">
      <c r="A215">
        <v>10259</v>
      </c>
      <c r="B215" t="s">
        <v>503</v>
      </c>
      <c r="C215" t="str" cm="1">
        <f t="array" ref="C215">_xlfn.IFS(L215="Exceeds", "Top Performer", L215="Fully Meets", "Solid Performer", L215="Needs Improvement", "Underperformer", L215="PIP", "At Risk")</f>
        <v>Solid Performer</v>
      </c>
      <c r="D215" t="str" cm="1">
        <f t="array" ref="D215">_xlfn.IFS(G215="Active", "Retained", G215="Voluntarily Terminated", "Voluntary Exit", G215="Terminated for Cause", "Involuntary Exit")</f>
        <v>Voluntary Exit</v>
      </c>
      <c r="E215" s="1">
        <v>42491</v>
      </c>
      <c r="F215" t="s">
        <v>117</v>
      </c>
      <c r="G215" t="s">
        <v>61</v>
      </c>
      <c r="H215" t="s">
        <v>62</v>
      </c>
      <c r="I215" t="s">
        <v>63</v>
      </c>
      <c r="J215">
        <v>4</v>
      </c>
      <c r="K215" t="s">
        <v>87</v>
      </c>
      <c r="L215" t="s">
        <v>65</v>
      </c>
      <c r="M215">
        <v>4.7</v>
      </c>
      <c r="N215">
        <v>4</v>
      </c>
    </row>
    <row r="216" spans="1:14">
      <c r="A216">
        <v>10286</v>
      </c>
      <c r="B216" t="s">
        <v>43</v>
      </c>
      <c r="C216" t="str" cm="1">
        <f t="array" ref="C216">_xlfn.IFS(L216="Exceeds", "Top Performer", L216="Fully Meets", "Solid Performer", L216="Needs Improvement", "Underperformer", L216="PIP", "At Risk")</f>
        <v>Underperformer</v>
      </c>
      <c r="D216" t="str" cm="1">
        <f t="array" ref="D216">_xlfn.IFS(G216="Active", "Retained", G216="Voluntarily Terminated", "Voluntary Exit", G216="Terminated for Cause", "Involuntary Exit")</f>
        <v>Voluntary Exit</v>
      </c>
      <c r="E216" s="1">
        <v>43097</v>
      </c>
      <c r="F216" t="s">
        <v>60</v>
      </c>
      <c r="G216" t="s">
        <v>61</v>
      </c>
      <c r="H216" t="s">
        <v>53</v>
      </c>
      <c r="I216" t="s">
        <v>76</v>
      </c>
      <c r="J216">
        <v>39</v>
      </c>
      <c r="K216" t="s">
        <v>77</v>
      </c>
      <c r="L216" t="s">
        <v>125</v>
      </c>
      <c r="M216">
        <v>3.54</v>
      </c>
      <c r="N216">
        <v>5</v>
      </c>
    </row>
    <row r="217" spans="1:14">
      <c r="A217">
        <v>10297</v>
      </c>
      <c r="B217" t="s">
        <v>43</v>
      </c>
      <c r="C217" t="str" cm="1">
        <f t="array" ref="C217">_xlfn.IFS(L217="Exceeds", "Top Performer", L217="Fully Meets", "Solid Performer", L217="Needs Improvement", "Underperformer", L217="PIP", "At Risk")</f>
        <v>Underperformer</v>
      </c>
      <c r="D217" t="str" cm="1">
        <f t="array" ref="D217">_xlfn.IFS(G217="Active", "Retained", G217="Voluntarily Terminated", "Voluntary Exit", G217="Terminated for Cause", "Involuntary Exit")</f>
        <v>Voluntary Exit</v>
      </c>
      <c r="E217" s="1">
        <v>42262</v>
      </c>
      <c r="F217" t="s">
        <v>100</v>
      </c>
      <c r="G217" t="s">
        <v>61</v>
      </c>
      <c r="H217" t="s">
        <v>53</v>
      </c>
      <c r="I217" t="s">
        <v>79</v>
      </c>
      <c r="J217">
        <v>11</v>
      </c>
      <c r="K217" t="s">
        <v>124</v>
      </c>
      <c r="L217" t="s">
        <v>125</v>
      </c>
      <c r="M217">
        <v>2.4</v>
      </c>
      <c r="N217">
        <v>5</v>
      </c>
    </row>
    <row r="218" spans="1:14">
      <c r="A218">
        <v>10171</v>
      </c>
      <c r="B218" t="s">
        <v>43</v>
      </c>
      <c r="C218" t="str" cm="1">
        <f t="array" ref="C218">_xlfn.IFS(L218="Exceeds", "Top Performer", L218="Fully Meets", "Solid Performer", L218="Needs Improvement", "Underperformer", L218="PIP", "At Risk")</f>
        <v>Solid Performer</v>
      </c>
      <c r="D218" t="str" cm="1">
        <f t="array" ref="D218">_xlfn.IFS(G218="Active", "Retained", G218="Voluntarily Terminated", "Voluntary Exit", G218="Terminated for Cause", "Involuntary Exit")</f>
        <v>Voluntary Exit</v>
      </c>
      <c r="E218" s="1">
        <v>42302</v>
      </c>
      <c r="F218" t="s">
        <v>386</v>
      </c>
      <c r="G218" t="s">
        <v>61</v>
      </c>
      <c r="H218" t="s">
        <v>53</v>
      </c>
      <c r="I218" t="s">
        <v>79</v>
      </c>
      <c r="J218">
        <v>11</v>
      </c>
      <c r="K218" t="s">
        <v>55</v>
      </c>
      <c r="L218" t="s">
        <v>65</v>
      </c>
      <c r="M218">
        <v>3.45</v>
      </c>
      <c r="N218">
        <v>4</v>
      </c>
    </row>
    <row r="219" spans="1:14">
      <c r="A219">
        <v>10032</v>
      </c>
      <c r="B219" t="s">
        <v>43</v>
      </c>
      <c r="C219" t="str" cm="1">
        <f t="array" ref="C219">_xlfn.IFS(L219="Exceeds", "Top Performer", L219="Fully Meets", "Solid Performer", L219="Needs Improvement", "Underperformer", L219="PIP", "At Risk")</f>
        <v>Top Performer</v>
      </c>
      <c r="D219" t="str" cm="1">
        <f t="array" ref="D219">_xlfn.IFS(G219="Active", "Retained", G219="Voluntarily Terminated", "Voluntary Exit", G219="Terminated for Cause", "Involuntary Exit")</f>
        <v>Voluntary Exit</v>
      </c>
      <c r="E219" s="1">
        <v>41309</v>
      </c>
      <c r="F219" t="s">
        <v>200</v>
      </c>
      <c r="G219" t="s">
        <v>61</v>
      </c>
      <c r="H219" t="s">
        <v>53</v>
      </c>
      <c r="I219" t="s">
        <v>86</v>
      </c>
      <c r="J219">
        <v>19</v>
      </c>
      <c r="K219" t="s">
        <v>64</v>
      </c>
      <c r="L219" t="s">
        <v>56</v>
      </c>
      <c r="M219">
        <v>4.2</v>
      </c>
      <c r="N219">
        <v>5</v>
      </c>
    </row>
    <row r="220" spans="1:14">
      <c r="A220">
        <v>10130</v>
      </c>
      <c r="B220" t="s">
        <v>503</v>
      </c>
      <c r="C220" t="str" cm="1">
        <f t="array" ref="C220">_xlfn.IFS(L220="Exceeds", "Top Performer", L220="Fully Meets", "Solid Performer", L220="Needs Improvement", "Underperformer", L220="PIP", "At Risk")</f>
        <v>Solid Performer</v>
      </c>
      <c r="D220" t="str" cm="1">
        <f t="array" ref="D220">_xlfn.IFS(G220="Active", "Retained", G220="Voluntarily Terminated", "Voluntary Exit", G220="Terminated for Cause", "Involuntary Exit")</f>
        <v>Voluntary Exit</v>
      </c>
      <c r="E220" s="1">
        <v>42508</v>
      </c>
      <c r="F220" t="s">
        <v>97</v>
      </c>
      <c r="G220" t="s">
        <v>61</v>
      </c>
      <c r="H220" t="s">
        <v>53</v>
      </c>
      <c r="I220" t="s">
        <v>138</v>
      </c>
      <c r="J220">
        <v>2</v>
      </c>
      <c r="K220" t="s">
        <v>64</v>
      </c>
      <c r="L220" t="s">
        <v>65</v>
      </c>
      <c r="M220">
        <v>4.16</v>
      </c>
      <c r="N220">
        <v>5</v>
      </c>
    </row>
    <row r="221" spans="1:14">
      <c r="A221">
        <v>10217</v>
      </c>
      <c r="B221" t="s">
        <v>503</v>
      </c>
      <c r="C221" t="str" cm="1">
        <f t="array" ref="C221">_xlfn.IFS(L221="Exceeds", "Top Performer", L221="Fully Meets", "Solid Performer", L221="Needs Improvement", "Underperformer", L221="PIP", "At Risk")</f>
        <v>Solid Performer</v>
      </c>
      <c r="D221" t="str" cm="1">
        <f t="array" ref="D221">_xlfn.IFS(G221="Active", "Retained", G221="Voluntarily Terminated", "Voluntary Exit", G221="Terminated for Cause", "Involuntary Exit")</f>
        <v>Retained</v>
      </c>
      <c r="F221" t="s">
        <v>51</v>
      </c>
      <c r="G221" t="s">
        <v>52</v>
      </c>
      <c r="H221" t="s">
        <v>53</v>
      </c>
      <c r="I221" t="s">
        <v>90</v>
      </c>
      <c r="J221">
        <v>12</v>
      </c>
      <c r="K221" t="s">
        <v>55</v>
      </c>
      <c r="L221" t="s">
        <v>65</v>
      </c>
      <c r="M221">
        <v>4.3</v>
      </c>
      <c r="N221">
        <v>3</v>
      </c>
    </row>
    <row r="222" spans="1:14">
      <c r="A222">
        <v>10016</v>
      </c>
      <c r="B222" t="s">
        <v>503</v>
      </c>
      <c r="C222" t="str" cm="1">
        <f t="array" ref="C222">_xlfn.IFS(L222="Exceeds", "Top Performer", L222="Fully Meets", "Solid Performer", L222="Needs Improvement", "Underperformer", L222="PIP", "At Risk")</f>
        <v>Top Performer</v>
      </c>
      <c r="D222" t="str" cm="1">
        <f t="array" ref="D222">_xlfn.IFS(G222="Active", "Retained", G222="Voluntarily Terminated", "Voluntary Exit", G222="Terminated for Cause", "Involuntary Exit")</f>
        <v>Retained</v>
      </c>
      <c r="F222" t="s">
        <v>51</v>
      </c>
      <c r="G222" t="s">
        <v>52</v>
      </c>
      <c r="H222" t="s">
        <v>62</v>
      </c>
      <c r="I222" t="s">
        <v>63</v>
      </c>
      <c r="J222">
        <v>4</v>
      </c>
      <c r="K222" t="s">
        <v>87</v>
      </c>
      <c r="L222" t="s">
        <v>56</v>
      </c>
      <c r="M222">
        <v>4.5999999999999996</v>
      </c>
      <c r="N222">
        <v>5</v>
      </c>
    </row>
    <row r="223" spans="1:14">
      <c r="A223">
        <v>10050</v>
      </c>
      <c r="B223" t="s">
        <v>43</v>
      </c>
      <c r="C223" t="str" cm="1">
        <f t="array" ref="C223">_xlfn.IFS(L223="Exceeds", "Top Performer", L223="Fully Meets", "Solid Performer", L223="Needs Improvement", "Underperformer", L223="PIP", "At Risk")</f>
        <v>Solid Performer</v>
      </c>
      <c r="D223" t="str" cm="1">
        <f t="array" ref="D223">_xlfn.IFS(G223="Active", "Retained", G223="Voluntarily Terminated", "Voluntary Exit", G223="Terminated for Cause", "Involuntary Exit")</f>
        <v>Voluntary Exit</v>
      </c>
      <c r="E223" s="1">
        <v>41243</v>
      </c>
      <c r="F223" t="s">
        <v>200</v>
      </c>
      <c r="G223" t="s">
        <v>61</v>
      </c>
      <c r="H223" t="s">
        <v>53</v>
      </c>
      <c r="I223" t="s">
        <v>90</v>
      </c>
      <c r="J223">
        <v>12</v>
      </c>
      <c r="K223" t="s">
        <v>77</v>
      </c>
      <c r="L223" t="s">
        <v>65</v>
      </c>
      <c r="M223">
        <v>5</v>
      </c>
      <c r="N223">
        <v>3</v>
      </c>
    </row>
    <row r="224" spans="1:14">
      <c r="A224">
        <v>10164</v>
      </c>
      <c r="B224" t="s">
        <v>43</v>
      </c>
      <c r="C224" t="str" cm="1">
        <f t="array" ref="C224">_xlfn.IFS(L224="Exceeds", "Top Performer", L224="Fully Meets", "Solid Performer", L224="Needs Improvement", "Underperformer", L224="PIP", "At Risk")</f>
        <v>Solid Performer</v>
      </c>
      <c r="D224" t="str" cm="1">
        <f t="array" ref="D224">_xlfn.IFS(G224="Active", "Retained", G224="Voluntarily Terminated", "Voluntary Exit", G224="Terminated for Cause", "Involuntary Exit")</f>
        <v>Retained</v>
      </c>
      <c r="F224" t="s">
        <v>51</v>
      </c>
      <c r="G224" t="s">
        <v>52</v>
      </c>
      <c r="H224" t="s">
        <v>53</v>
      </c>
      <c r="I224" t="s">
        <v>98</v>
      </c>
      <c r="J224">
        <v>14</v>
      </c>
      <c r="K224" t="s">
        <v>77</v>
      </c>
      <c r="L224" t="s">
        <v>65</v>
      </c>
      <c r="M224">
        <v>3.66</v>
      </c>
      <c r="N224">
        <v>3</v>
      </c>
    </row>
    <row r="225" spans="1:14">
      <c r="A225">
        <v>10124</v>
      </c>
      <c r="B225" t="s">
        <v>43</v>
      </c>
      <c r="C225" t="str" cm="1">
        <f t="array" ref="C225">_xlfn.IFS(L225="Exceeds", "Top Performer", L225="Fully Meets", "Solid Performer", L225="Needs Improvement", "Underperformer", L225="PIP", "At Risk")</f>
        <v>Solid Performer</v>
      </c>
      <c r="D225" t="str" cm="1">
        <f t="array" ref="D225">_xlfn.IFS(G225="Active", "Retained", G225="Voluntarily Terminated", "Voluntary Exit", G225="Terminated for Cause", "Involuntary Exit")</f>
        <v>Retained</v>
      </c>
      <c r="F225" t="s">
        <v>51</v>
      </c>
      <c r="G225" t="s">
        <v>52</v>
      </c>
      <c r="H225" t="s">
        <v>148</v>
      </c>
      <c r="I225" t="s">
        <v>167</v>
      </c>
      <c r="J225">
        <v>21</v>
      </c>
      <c r="K225" t="s">
        <v>208</v>
      </c>
      <c r="L225" t="s">
        <v>65</v>
      </c>
      <c r="M225">
        <v>4.2</v>
      </c>
      <c r="N225">
        <v>5</v>
      </c>
    </row>
    <row r="226" spans="1:14">
      <c r="A226">
        <v>10187</v>
      </c>
      <c r="B226" t="s">
        <v>43</v>
      </c>
      <c r="C226" t="str" cm="1">
        <f t="array" ref="C226">_xlfn.IFS(L226="Exceeds", "Top Performer", L226="Fully Meets", "Solid Performer", L226="Needs Improvement", "Underperformer", L226="PIP", "At Risk")</f>
        <v>Solid Performer</v>
      </c>
      <c r="D226" t="str" cm="1">
        <f t="array" ref="D226">_xlfn.IFS(G226="Active", "Retained", G226="Voluntarily Terminated", "Voluntary Exit", G226="Terminated for Cause", "Involuntary Exit")</f>
        <v>Voluntary Exit</v>
      </c>
      <c r="E226" s="1">
        <v>43255</v>
      </c>
      <c r="F226" t="s">
        <v>97</v>
      </c>
      <c r="G226" t="s">
        <v>61</v>
      </c>
      <c r="H226" t="s">
        <v>53</v>
      </c>
      <c r="I226" t="s">
        <v>70</v>
      </c>
      <c r="J226">
        <v>20</v>
      </c>
      <c r="K226" t="s">
        <v>77</v>
      </c>
      <c r="L226" t="s">
        <v>65</v>
      </c>
      <c r="M226">
        <v>3.17</v>
      </c>
      <c r="N226">
        <v>4</v>
      </c>
    </row>
    <row r="227" spans="1:14">
      <c r="A227">
        <v>10225</v>
      </c>
      <c r="B227" t="s">
        <v>43</v>
      </c>
      <c r="C227" t="str" cm="1">
        <f t="array" ref="C227">_xlfn.IFS(L227="Exceeds", "Top Performer", L227="Fully Meets", "Solid Performer", L227="Needs Improvement", "Underperformer", L227="PIP", "At Risk")</f>
        <v>Solid Performer</v>
      </c>
      <c r="D227" t="str" cm="1">
        <f t="array" ref="D227">_xlfn.IFS(G227="Active", "Retained", G227="Voluntarily Terminated", "Voluntary Exit", G227="Terminated for Cause", "Involuntary Exit")</f>
        <v>Retained</v>
      </c>
      <c r="F227" t="s">
        <v>51</v>
      </c>
      <c r="G227" t="s">
        <v>52</v>
      </c>
      <c r="H227" t="s">
        <v>53</v>
      </c>
      <c r="I227" t="s">
        <v>106</v>
      </c>
      <c r="J227">
        <v>18</v>
      </c>
      <c r="K227" t="s">
        <v>87</v>
      </c>
      <c r="L227" t="s">
        <v>65</v>
      </c>
      <c r="M227">
        <v>4.8</v>
      </c>
      <c r="N227">
        <v>3</v>
      </c>
    </row>
    <row r="228" spans="1:14">
      <c r="A228">
        <v>10262</v>
      </c>
      <c r="B228" t="s">
        <v>43</v>
      </c>
      <c r="C228" t="str" cm="1">
        <f t="array" ref="C228">_xlfn.IFS(L228="Exceeds", "Top Performer", L228="Fully Meets", "Solid Performer", L228="Needs Improvement", "Underperformer", L228="PIP", "At Risk")</f>
        <v>Solid Performer</v>
      </c>
      <c r="D228" t="str" cm="1">
        <f t="array" ref="D228">_xlfn.IFS(G228="Active", "Retained", G228="Voluntarily Terminated", "Voluntary Exit", G228="Terminated for Cause", "Involuntary Exit")</f>
        <v>Voluntary Exit</v>
      </c>
      <c r="E228" s="1">
        <v>41443</v>
      </c>
      <c r="F228" t="s">
        <v>100</v>
      </c>
      <c r="G228" t="s">
        <v>61</v>
      </c>
      <c r="H228" t="s">
        <v>53</v>
      </c>
      <c r="I228" t="s">
        <v>70</v>
      </c>
      <c r="J228">
        <v>20</v>
      </c>
      <c r="K228" t="s">
        <v>64</v>
      </c>
      <c r="L228" t="s">
        <v>65</v>
      </c>
      <c r="M228">
        <v>4.5</v>
      </c>
      <c r="N228">
        <v>5</v>
      </c>
    </row>
    <row r="229" spans="1:14">
      <c r="A229">
        <v>10131</v>
      </c>
      <c r="B229" t="s">
        <v>503</v>
      </c>
      <c r="C229" t="str" cm="1">
        <f t="array" ref="C229">_xlfn.IFS(L229="Exceeds", "Top Performer", L229="Fully Meets", "Solid Performer", L229="Needs Improvement", "Underperformer", L229="PIP", "At Risk")</f>
        <v>Solid Performer</v>
      </c>
      <c r="D229" t="str" cm="1">
        <f t="array" ref="D229">_xlfn.IFS(G229="Active", "Retained", G229="Voluntarily Terminated", "Voluntary Exit", G229="Terminated for Cause", "Involuntary Exit")</f>
        <v>Voluntary Exit</v>
      </c>
      <c r="E229" s="1">
        <v>42231</v>
      </c>
      <c r="F229" t="s">
        <v>60</v>
      </c>
      <c r="G229" t="s">
        <v>61</v>
      </c>
      <c r="H229" t="s">
        <v>82</v>
      </c>
      <c r="I229" t="s">
        <v>138</v>
      </c>
      <c r="J229">
        <v>2</v>
      </c>
      <c r="K229" t="s">
        <v>91</v>
      </c>
      <c r="L229" t="s">
        <v>65</v>
      </c>
      <c r="M229">
        <v>4.1500000000000004</v>
      </c>
      <c r="N229">
        <v>4</v>
      </c>
    </row>
    <row r="230" spans="1:14">
      <c r="A230">
        <v>10239</v>
      </c>
      <c r="B230" t="s">
        <v>503</v>
      </c>
      <c r="C230" t="str" cm="1">
        <f t="array" ref="C230">_xlfn.IFS(L230="Exceeds", "Top Performer", L230="Fully Meets", "Solid Performer", L230="Needs Improvement", "Underperformer", L230="PIP", "At Risk")</f>
        <v>Solid Performer</v>
      </c>
      <c r="D230" t="str" cm="1">
        <f t="array" ref="D230">_xlfn.IFS(G230="Active", "Retained", G230="Voluntarily Terminated", "Voluntary Exit", G230="Terminated for Cause", "Involuntary Exit")</f>
        <v>Retained</v>
      </c>
      <c r="F230" t="s">
        <v>51</v>
      </c>
      <c r="G230" t="s">
        <v>52</v>
      </c>
      <c r="H230" t="s">
        <v>62</v>
      </c>
      <c r="I230" t="s">
        <v>204</v>
      </c>
      <c r="J230">
        <v>13</v>
      </c>
      <c r="K230" t="s">
        <v>64</v>
      </c>
      <c r="L230" t="s">
        <v>65</v>
      </c>
      <c r="M230">
        <v>4.4000000000000004</v>
      </c>
      <c r="N230">
        <v>4</v>
      </c>
    </row>
    <row r="231" spans="1:14">
      <c r="A231">
        <v>10152</v>
      </c>
      <c r="B231" t="s">
        <v>43</v>
      </c>
      <c r="C231" t="str" cm="1">
        <f t="array" ref="C231">_xlfn.IFS(L231="Exceeds", "Top Performer", L231="Fully Meets", "Solid Performer", L231="Needs Improvement", "Underperformer", L231="PIP", "At Risk")</f>
        <v>Solid Performer</v>
      </c>
      <c r="D231" t="str" cm="1">
        <f t="array" ref="D231">_xlfn.IFS(G231="Active", "Retained", G231="Voluntarily Terminated", "Voluntary Exit", G231="Terminated for Cause", "Involuntary Exit")</f>
        <v>Voluntary Exit</v>
      </c>
      <c r="E231" s="1">
        <v>43197</v>
      </c>
      <c r="F231" t="s">
        <v>200</v>
      </c>
      <c r="G231" t="s">
        <v>61</v>
      </c>
      <c r="H231" t="s">
        <v>53</v>
      </c>
      <c r="I231" t="s">
        <v>54</v>
      </c>
      <c r="J231">
        <v>22</v>
      </c>
      <c r="K231" t="s">
        <v>64</v>
      </c>
      <c r="L231" t="s">
        <v>65</v>
      </c>
      <c r="M231">
        <v>3.8</v>
      </c>
      <c r="N231">
        <v>5</v>
      </c>
    </row>
    <row r="232" spans="1:14">
      <c r="A232">
        <v>10140</v>
      </c>
      <c r="B232" t="s">
        <v>43</v>
      </c>
      <c r="C232" t="str" cm="1">
        <f t="array" ref="C232">_xlfn.IFS(L232="Exceeds", "Top Performer", L232="Fully Meets", "Solid Performer", L232="Needs Improvement", "Underperformer", L232="PIP", "At Risk")</f>
        <v>Solid Performer</v>
      </c>
      <c r="D232" t="str" cm="1">
        <f t="array" ref="D232">_xlfn.IFS(G232="Active", "Retained", G232="Voluntarily Terminated", "Voluntary Exit", G232="Terminated for Cause", "Involuntary Exit")</f>
        <v>Retained</v>
      </c>
      <c r="F232" t="s">
        <v>51</v>
      </c>
      <c r="G232" t="s">
        <v>52</v>
      </c>
      <c r="H232" t="s">
        <v>148</v>
      </c>
      <c r="I232" t="s">
        <v>149</v>
      </c>
      <c r="J232">
        <v>17</v>
      </c>
      <c r="K232" t="s">
        <v>124</v>
      </c>
      <c r="L232" t="s">
        <v>65</v>
      </c>
      <c r="M232">
        <v>3.98</v>
      </c>
      <c r="N232">
        <v>3</v>
      </c>
    </row>
    <row r="233" spans="1:14">
      <c r="A233">
        <v>10058</v>
      </c>
      <c r="B233" t="s">
        <v>43</v>
      </c>
      <c r="C233" t="str" cm="1">
        <f t="array" ref="C233">_xlfn.IFS(L233="Exceeds", "Top Performer", L233="Fully Meets", "Solid Performer", L233="Needs Improvement", "Underperformer", L233="PIP", "At Risk")</f>
        <v>Solid Performer</v>
      </c>
      <c r="D233" t="str" cm="1">
        <f t="array" ref="D233">_xlfn.IFS(G233="Active", "Retained", G233="Voluntarily Terminated", "Voluntary Exit", G233="Terminated for Cause", "Involuntary Exit")</f>
        <v>Voluntary Exit</v>
      </c>
      <c r="E233" s="1">
        <v>42384</v>
      </c>
      <c r="F233" t="s">
        <v>137</v>
      </c>
      <c r="G233" t="s">
        <v>61</v>
      </c>
      <c r="H233" t="s">
        <v>53</v>
      </c>
      <c r="I233" t="s">
        <v>72</v>
      </c>
      <c r="J233">
        <v>16</v>
      </c>
      <c r="K233" t="s">
        <v>55</v>
      </c>
      <c r="L233" t="s">
        <v>65</v>
      </c>
      <c r="M233">
        <v>5</v>
      </c>
      <c r="N233">
        <v>4</v>
      </c>
    </row>
    <row r="234" spans="1:14">
      <c r="A234">
        <v>10011</v>
      </c>
      <c r="B234" t="s">
        <v>43</v>
      </c>
      <c r="C234" t="str" cm="1">
        <f t="array" ref="C234">_xlfn.IFS(L234="Exceeds", "Top Performer", L234="Fully Meets", "Solid Performer", L234="Needs Improvement", "Underperformer", L234="PIP", "At Risk")</f>
        <v>Top Performer</v>
      </c>
      <c r="D234" t="str" cm="1">
        <f t="array" ref="D234">_xlfn.IFS(G234="Active", "Retained", G234="Voluntarily Terminated", "Voluntary Exit", G234="Terminated for Cause", "Involuntary Exit")</f>
        <v>Retained</v>
      </c>
      <c r="F234" t="s">
        <v>51</v>
      </c>
      <c r="G234" t="s">
        <v>52</v>
      </c>
      <c r="H234" t="s">
        <v>53</v>
      </c>
      <c r="I234" t="s">
        <v>76</v>
      </c>
      <c r="K234" t="s">
        <v>77</v>
      </c>
      <c r="L234" t="s">
        <v>56</v>
      </c>
      <c r="M234">
        <v>4.3600000000000003</v>
      </c>
      <c r="N234">
        <v>5</v>
      </c>
    </row>
    <row r="235" spans="1:14">
      <c r="A235">
        <v>10230</v>
      </c>
      <c r="B235" t="s">
        <v>43</v>
      </c>
      <c r="C235" t="str" cm="1">
        <f t="array" ref="C235">_xlfn.IFS(L235="Exceeds", "Top Performer", L235="Fully Meets", "Solid Performer", L235="Needs Improvement", "Underperformer", L235="PIP", "At Risk")</f>
        <v>Solid Performer</v>
      </c>
      <c r="D235" t="str" cm="1">
        <f t="array" ref="D235">_xlfn.IFS(G235="Active", "Retained", G235="Voluntarily Terminated", "Voluntary Exit", G235="Terminated for Cause", "Involuntary Exit")</f>
        <v>Voluntary Exit</v>
      </c>
      <c r="E235" s="1">
        <v>40838</v>
      </c>
      <c r="F235" t="s">
        <v>75</v>
      </c>
      <c r="G235" t="s">
        <v>61</v>
      </c>
      <c r="H235" t="s">
        <v>53</v>
      </c>
      <c r="I235" t="s">
        <v>98</v>
      </c>
      <c r="J235">
        <v>14</v>
      </c>
      <c r="K235" t="s">
        <v>77</v>
      </c>
      <c r="L235" t="s">
        <v>65</v>
      </c>
      <c r="M235">
        <v>4.5</v>
      </c>
      <c r="N235">
        <v>4</v>
      </c>
    </row>
    <row r="236" spans="1:14">
      <c r="A236">
        <v>10224</v>
      </c>
      <c r="B236" t="s">
        <v>43</v>
      </c>
      <c r="C236" t="str" cm="1">
        <f t="array" ref="C236">_xlfn.IFS(L236="Exceeds", "Top Performer", L236="Fully Meets", "Solid Performer", L236="Needs Improvement", "Underperformer", L236="PIP", "At Risk")</f>
        <v>Solid Performer</v>
      </c>
      <c r="D236" t="str" cm="1">
        <f t="array" ref="D236">_xlfn.IFS(G236="Active", "Retained", G236="Voluntarily Terminated", "Voluntary Exit", G236="Terminated for Cause", "Involuntary Exit")</f>
        <v>Voluntary Exit</v>
      </c>
      <c r="E236" s="1">
        <v>40947</v>
      </c>
      <c r="F236" t="s">
        <v>97</v>
      </c>
      <c r="G236" t="s">
        <v>61</v>
      </c>
      <c r="H236" t="s">
        <v>53</v>
      </c>
      <c r="I236" t="s">
        <v>70</v>
      </c>
      <c r="J236">
        <v>20</v>
      </c>
      <c r="K236" t="s">
        <v>64</v>
      </c>
      <c r="L236" t="s">
        <v>65</v>
      </c>
      <c r="M236">
        <v>4.2</v>
      </c>
      <c r="N236">
        <v>5</v>
      </c>
    </row>
    <row r="237" spans="1:14">
      <c r="A237">
        <v>10047</v>
      </c>
      <c r="B237" t="s">
        <v>43</v>
      </c>
      <c r="C237" t="str" cm="1">
        <f t="array" ref="C237">_xlfn.IFS(L237="Exceeds", "Top Performer", L237="Fully Meets", "Solid Performer", L237="Needs Improvement", "Underperformer", L237="PIP", "At Risk")</f>
        <v>Solid Performer</v>
      </c>
      <c r="D237" t="str" cm="1">
        <f t="array" ref="D237">_xlfn.IFS(G237="Active", "Retained", G237="Voluntarily Terminated", "Voluntary Exit", G237="Terminated for Cause", "Involuntary Exit")</f>
        <v>Voluntary Exit</v>
      </c>
      <c r="E237" s="1">
        <v>42395</v>
      </c>
      <c r="F237" t="s">
        <v>110</v>
      </c>
      <c r="G237" t="s">
        <v>61</v>
      </c>
      <c r="H237" t="s">
        <v>53</v>
      </c>
      <c r="I237" t="s">
        <v>79</v>
      </c>
      <c r="J237">
        <v>11</v>
      </c>
      <c r="K237" t="s">
        <v>64</v>
      </c>
      <c r="L237" t="s">
        <v>65</v>
      </c>
      <c r="M237">
        <v>5</v>
      </c>
      <c r="N237">
        <v>3</v>
      </c>
    </row>
    <row r="238" spans="1:14">
      <c r="A238">
        <v>10285</v>
      </c>
      <c r="B238" t="s">
        <v>43</v>
      </c>
      <c r="C238" t="str" cm="1">
        <f t="array" ref="C238">_xlfn.IFS(L238="Exceeds", "Top Performer", L238="Fully Meets", "Solid Performer", L238="Needs Improvement", "Underperformer", L238="PIP", "At Risk")</f>
        <v>Underperformer</v>
      </c>
      <c r="D238" t="str" cm="1">
        <f t="array" ref="D238">_xlfn.IFS(G238="Active", "Retained", G238="Voluntarily Terminated", "Voluntary Exit", G238="Terminated for Cause", "Involuntary Exit")</f>
        <v>Involuntary Exit</v>
      </c>
      <c r="E238" s="1">
        <v>42507</v>
      </c>
      <c r="F238" t="s">
        <v>110</v>
      </c>
      <c r="G238" t="s">
        <v>111</v>
      </c>
      <c r="H238" t="s">
        <v>53</v>
      </c>
      <c r="I238" t="s">
        <v>86</v>
      </c>
      <c r="J238">
        <v>19</v>
      </c>
      <c r="K238" t="s">
        <v>64</v>
      </c>
      <c r="L238" t="s">
        <v>125</v>
      </c>
      <c r="M238">
        <v>3.6</v>
      </c>
      <c r="N238">
        <v>3</v>
      </c>
    </row>
    <row r="239" spans="1:14">
      <c r="A239">
        <v>10020</v>
      </c>
      <c r="B239" t="s">
        <v>43</v>
      </c>
      <c r="C239" t="str" cm="1">
        <f t="array" ref="C239">_xlfn.IFS(L239="Exceeds", "Top Performer", L239="Fully Meets", "Solid Performer", L239="Needs Improvement", "Underperformer", L239="PIP", "At Risk")</f>
        <v>Top Performer</v>
      </c>
      <c r="D239" t="str" cm="1">
        <f t="array" ref="D239">_xlfn.IFS(G239="Active", "Retained", G239="Voluntarily Terminated", "Voluntary Exit", G239="Terminated for Cause", "Involuntary Exit")</f>
        <v>Retained</v>
      </c>
      <c r="F239" t="s">
        <v>51</v>
      </c>
      <c r="G239" t="s">
        <v>52</v>
      </c>
      <c r="H239" t="s">
        <v>53</v>
      </c>
      <c r="I239" t="s">
        <v>90</v>
      </c>
      <c r="J239">
        <v>12</v>
      </c>
      <c r="K239" t="s">
        <v>87</v>
      </c>
      <c r="L239" t="s">
        <v>56</v>
      </c>
      <c r="M239">
        <v>3.6</v>
      </c>
      <c r="N239">
        <v>5</v>
      </c>
    </row>
    <row r="240" spans="1:14">
      <c r="A240">
        <v>10162</v>
      </c>
      <c r="B240" t="s">
        <v>503</v>
      </c>
      <c r="C240" t="str" cm="1">
        <f t="array" ref="C240">_xlfn.IFS(L240="Exceeds", "Top Performer", L240="Fully Meets", "Solid Performer", L240="Needs Improvement", "Underperformer", L240="PIP", "At Risk")</f>
        <v>Solid Performer</v>
      </c>
      <c r="D240" t="str" cm="1">
        <f t="array" ref="D240">_xlfn.IFS(G240="Active", "Retained", G240="Voluntarily Terminated", "Voluntary Exit", G240="Terminated for Cause", "Involuntary Exit")</f>
        <v>Retained</v>
      </c>
      <c r="F240" t="s">
        <v>51</v>
      </c>
      <c r="G240" t="s">
        <v>52</v>
      </c>
      <c r="H240" t="s">
        <v>62</v>
      </c>
      <c r="I240" t="s">
        <v>63</v>
      </c>
      <c r="J240">
        <v>4</v>
      </c>
      <c r="K240" t="s">
        <v>87</v>
      </c>
      <c r="L240" t="s">
        <v>65</v>
      </c>
      <c r="M240">
        <v>3.69</v>
      </c>
      <c r="N240">
        <v>5</v>
      </c>
    </row>
    <row r="241" spans="1:14">
      <c r="A241">
        <v>10149</v>
      </c>
      <c r="B241" t="s">
        <v>502</v>
      </c>
      <c r="C241" t="str" cm="1">
        <f t="array" ref="C241">_xlfn.IFS(L241="Exceeds", "Top Performer", L241="Fully Meets", "Solid Performer", L241="Needs Improvement", "Underperformer", L241="PIP", "At Risk")</f>
        <v>Solid Performer</v>
      </c>
      <c r="D241" t="str" cm="1">
        <f t="array" ref="D241">_xlfn.IFS(G241="Active", "Retained", G241="Voluntarily Terminated", "Voluntary Exit", G241="Terminated for Cause", "Involuntary Exit")</f>
        <v>Voluntary Exit</v>
      </c>
      <c r="E241" s="1">
        <v>43414</v>
      </c>
      <c r="F241" t="s">
        <v>97</v>
      </c>
      <c r="G241" t="s">
        <v>61</v>
      </c>
      <c r="H241" t="s">
        <v>62</v>
      </c>
      <c r="I241" t="s">
        <v>63</v>
      </c>
      <c r="J241">
        <v>4</v>
      </c>
      <c r="K241" t="s">
        <v>55</v>
      </c>
      <c r="L241" t="s">
        <v>65</v>
      </c>
      <c r="M241">
        <v>3.88</v>
      </c>
      <c r="N241">
        <v>3</v>
      </c>
    </row>
    <row r="242" spans="1:14">
      <c r="A242">
        <v>10086</v>
      </c>
      <c r="B242" t="s">
        <v>502</v>
      </c>
      <c r="C242" t="str" cm="1">
        <f t="array" ref="C242">_xlfn.IFS(L242="Exceeds", "Top Performer", L242="Fully Meets", "Solid Performer", L242="Needs Improvement", "Underperformer", L242="PIP", "At Risk")</f>
        <v>Solid Performer</v>
      </c>
      <c r="D242" t="str" cm="1">
        <f t="array" ref="D242">_xlfn.IFS(G242="Active", "Retained", G242="Voluntarily Terminated", "Voluntary Exit", G242="Terminated for Cause", "Involuntary Exit")</f>
        <v>Retained</v>
      </c>
      <c r="F242" t="s">
        <v>51</v>
      </c>
      <c r="G242" t="s">
        <v>52</v>
      </c>
      <c r="H242" t="s">
        <v>62</v>
      </c>
      <c r="I242" t="s">
        <v>204</v>
      </c>
      <c r="J242">
        <v>13</v>
      </c>
      <c r="K242" t="s">
        <v>64</v>
      </c>
      <c r="L242" t="s">
        <v>65</v>
      </c>
      <c r="M242">
        <v>4.9400000000000004</v>
      </c>
      <c r="N242">
        <v>3</v>
      </c>
    </row>
    <row r="243" spans="1:14">
      <c r="A243">
        <v>10054</v>
      </c>
      <c r="B243" t="s">
        <v>43</v>
      </c>
      <c r="C243" t="str" cm="1">
        <f t="array" ref="C243">_xlfn.IFS(L243="Exceeds", "Top Performer", L243="Fully Meets", "Solid Performer", L243="Needs Improvement", "Underperformer", L243="PIP", "At Risk")</f>
        <v>Solid Performer</v>
      </c>
      <c r="D243" t="str" cm="1">
        <f t="array" ref="D243">_xlfn.IFS(G243="Active", "Retained", G243="Voluntarily Terminated", "Voluntary Exit", G243="Terminated for Cause", "Involuntary Exit")</f>
        <v>Retained</v>
      </c>
      <c r="F243" t="s">
        <v>51</v>
      </c>
      <c r="G243" t="s">
        <v>52</v>
      </c>
      <c r="H243" t="s">
        <v>53</v>
      </c>
      <c r="I243" t="s">
        <v>98</v>
      </c>
      <c r="J243">
        <v>14</v>
      </c>
      <c r="K243" t="s">
        <v>208</v>
      </c>
      <c r="L243" t="s">
        <v>65</v>
      </c>
      <c r="M243">
        <v>5</v>
      </c>
      <c r="N243">
        <v>4</v>
      </c>
    </row>
    <row r="244" spans="1:14">
      <c r="A244">
        <v>10065</v>
      </c>
      <c r="B244" t="s">
        <v>43</v>
      </c>
      <c r="C244" t="str" cm="1">
        <f t="array" ref="C244">_xlfn.IFS(L244="Exceeds", "Top Performer", L244="Fully Meets", "Solid Performer", L244="Needs Improvement", "Underperformer", L244="PIP", "At Risk")</f>
        <v>Solid Performer</v>
      </c>
      <c r="D244" t="str" cm="1">
        <f t="array" ref="D244">_xlfn.IFS(G244="Active", "Retained", G244="Voluntarily Terminated", "Voluntary Exit", G244="Terminated for Cause", "Involuntary Exit")</f>
        <v>Voluntary Exit</v>
      </c>
      <c r="E244" s="1">
        <v>43325</v>
      </c>
      <c r="F244" t="s">
        <v>97</v>
      </c>
      <c r="G244" t="s">
        <v>61</v>
      </c>
      <c r="H244" t="s">
        <v>53</v>
      </c>
      <c r="I244" t="s">
        <v>70</v>
      </c>
      <c r="J244">
        <v>20</v>
      </c>
      <c r="K244" t="s">
        <v>77</v>
      </c>
      <c r="L244" t="s">
        <v>65</v>
      </c>
      <c r="M244">
        <v>5</v>
      </c>
      <c r="N244">
        <v>5</v>
      </c>
    </row>
    <row r="245" spans="1:14">
      <c r="A245">
        <v>10198</v>
      </c>
      <c r="B245" t="s">
        <v>502</v>
      </c>
      <c r="C245" t="str" cm="1">
        <f t="array" ref="C245">_xlfn.IFS(L245="Exceeds", "Top Performer", L245="Fully Meets", "Solid Performer", L245="Needs Improvement", "Underperformer", L245="PIP", "At Risk")</f>
        <v>Solid Performer</v>
      </c>
      <c r="D245" t="str" cm="1">
        <f t="array" ref="D245">_xlfn.IFS(G245="Active", "Retained", G245="Voluntarily Terminated", "Voluntary Exit", G245="Terminated for Cause", "Involuntary Exit")</f>
        <v>Retained</v>
      </c>
      <c r="F245" t="s">
        <v>51</v>
      </c>
      <c r="G245" t="s">
        <v>52</v>
      </c>
      <c r="H245" t="s">
        <v>62</v>
      </c>
      <c r="I245" t="s">
        <v>154</v>
      </c>
      <c r="J245">
        <v>5</v>
      </c>
      <c r="K245" t="s">
        <v>64</v>
      </c>
      <c r="L245" t="s">
        <v>65</v>
      </c>
      <c r="M245">
        <v>3.6</v>
      </c>
      <c r="N245">
        <v>5</v>
      </c>
    </row>
    <row r="246" spans="1:14">
      <c r="A246">
        <v>10222</v>
      </c>
      <c r="B246" t="s">
        <v>502</v>
      </c>
      <c r="C246" t="str" cm="1">
        <f t="array" ref="C246">_xlfn.IFS(L246="Exceeds", "Top Performer", L246="Fully Meets", "Solid Performer", L246="Needs Improvement", "Underperformer", L246="PIP", "At Risk")</f>
        <v>Solid Performer</v>
      </c>
      <c r="D246" t="str" cm="1">
        <f t="array" ref="D246">_xlfn.IFS(G246="Active", "Retained", G246="Voluntarily Terminated", "Voluntary Exit", G246="Terminated for Cause", "Involuntary Exit")</f>
        <v>Voluntary Exit</v>
      </c>
      <c r="E246" s="1">
        <v>42312</v>
      </c>
      <c r="F246" t="s">
        <v>69</v>
      </c>
      <c r="G246" t="s">
        <v>61</v>
      </c>
      <c r="H246" t="s">
        <v>62</v>
      </c>
      <c r="I246" t="s">
        <v>154</v>
      </c>
      <c r="J246">
        <v>5</v>
      </c>
      <c r="K246" t="s">
        <v>91</v>
      </c>
      <c r="L246" t="s">
        <v>65</v>
      </c>
      <c r="M246">
        <v>4.3</v>
      </c>
      <c r="N246">
        <v>4</v>
      </c>
    </row>
    <row r="247" spans="1:14">
      <c r="A247">
        <v>10126</v>
      </c>
      <c r="B247" t="s">
        <v>503</v>
      </c>
      <c r="C247" t="str" cm="1">
        <f t="array" ref="C247">_xlfn.IFS(L247="Exceeds", "Top Performer", L247="Fully Meets", "Solid Performer", L247="Needs Improvement", "Underperformer", L247="PIP", "At Risk")</f>
        <v>Solid Performer</v>
      </c>
      <c r="D247" t="str" cm="1">
        <f t="array" ref="D247">_xlfn.IFS(G247="Active", "Retained", G247="Voluntarily Terminated", "Voluntary Exit", G247="Terminated for Cause", "Involuntary Exit")</f>
        <v>Retained</v>
      </c>
      <c r="F247" t="s">
        <v>51</v>
      </c>
      <c r="G247" t="s">
        <v>52</v>
      </c>
      <c r="H247" t="s">
        <v>82</v>
      </c>
      <c r="I247" t="s">
        <v>83</v>
      </c>
      <c r="J247">
        <v>10</v>
      </c>
      <c r="K247" t="s">
        <v>64</v>
      </c>
      <c r="L247" t="s">
        <v>65</v>
      </c>
      <c r="M247">
        <v>4.2</v>
      </c>
      <c r="N247">
        <v>3</v>
      </c>
    </row>
    <row r="248" spans="1:14">
      <c r="A248">
        <v>10295</v>
      </c>
      <c r="B248" t="s">
        <v>43</v>
      </c>
      <c r="C248" t="str" cm="1">
        <f t="array" ref="C248">_xlfn.IFS(L248="Exceeds", "Top Performer", L248="Fully Meets", "Solid Performer", L248="Needs Improvement", "Underperformer", L248="PIP", "At Risk")</f>
        <v>Underperformer</v>
      </c>
      <c r="D248" t="str" cm="1">
        <f t="array" ref="D248">_xlfn.IFS(G248="Active", "Retained", G248="Voluntarily Terminated", "Voluntary Exit", G248="Terminated for Cause", "Involuntary Exit")</f>
        <v>Retained</v>
      </c>
      <c r="F248" t="s">
        <v>51</v>
      </c>
      <c r="G248" t="s">
        <v>52</v>
      </c>
      <c r="H248" t="s">
        <v>53</v>
      </c>
      <c r="I248" t="s">
        <v>106</v>
      </c>
      <c r="J248">
        <v>18</v>
      </c>
      <c r="K248" t="s">
        <v>91</v>
      </c>
      <c r="L248" t="s">
        <v>125</v>
      </c>
      <c r="M248">
        <v>2.6</v>
      </c>
      <c r="N248">
        <v>4</v>
      </c>
    </row>
    <row r="249" spans="1:14">
      <c r="A249">
        <v>10260</v>
      </c>
      <c r="B249" t="s">
        <v>43</v>
      </c>
      <c r="C249" t="str" cm="1">
        <f t="array" ref="C249">_xlfn.IFS(L249="Exceeds", "Top Performer", L249="Fully Meets", "Solid Performer", L249="Needs Improvement", "Underperformer", L249="PIP", "At Risk")</f>
        <v>Solid Performer</v>
      </c>
      <c r="D249" t="str" cm="1">
        <f t="array" ref="D249">_xlfn.IFS(G249="Active", "Retained", G249="Voluntarily Terminated", "Voluntary Exit", G249="Terminated for Cause", "Involuntary Exit")</f>
        <v>Voluntary Exit</v>
      </c>
      <c r="E249" s="1">
        <v>43311</v>
      </c>
      <c r="F249" t="s">
        <v>169</v>
      </c>
      <c r="G249" t="s">
        <v>61</v>
      </c>
      <c r="H249" t="s">
        <v>53</v>
      </c>
      <c r="I249" t="s">
        <v>54</v>
      </c>
      <c r="J249">
        <v>22</v>
      </c>
      <c r="K249" t="s">
        <v>77</v>
      </c>
      <c r="L249" t="s">
        <v>65</v>
      </c>
      <c r="M249">
        <v>4.5999999999999996</v>
      </c>
      <c r="N249">
        <v>5</v>
      </c>
    </row>
    <row r="250" spans="1:14">
      <c r="A250">
        <v>10233</v>
      </c>
      <c r="B250" t="s">
        <v>43</v>
      </c>
      <c r="C250" t="str" cm="1">
        <f t="array" ref="C250">_xlfn.IFS(L250="Exceeds", "Top Performer", L250="Fully Meets", "Solid Performer", L250="Needs Improvement", "Underperformer", L250="PIP", "At Risk")</f>
        <v>Solid Performer</v>
      </c>
      <c r="D250" t="str" cm="1">
        <f t="array" ref="D250">_xlfn.IFS(G250="Active", "Retained", G250="Voluntarily Terminated", "Voluntary Exit", G250="Terminated for Cause", "Involuntary Exit")</f>
        <v>Retained</v>
      </c>
      <c r="F250" t="s">
        <v>51</v>
      </c>
      <c r="G250" t="s">
        <v>52</v>
      </c>
      <c r="H250" t="s">
        <v>53</v>
      </c>
      <c r="I250" t="s">
        <v>106</v>
      </c>
      <c r="J250">
        <v>18</v>
      </c>
      <c r="K250" t="s">
        <v>124</v>
      </c>
      <c r="L250" t="s">
        <v>65</v>
      </c>
      <c r="M250">
        <v>4.0999999999999996</v>
      </c>
      <c r="N250">
        <v>3</v>
      </c>
    </row>
    <row r="251" spans="1:14">
      <c r="A251">
        <v>10229</v>
      </c>
      <c r="B251" t="s">
        <v>503</v>
      </c>
      <c r="C251" t="str" cm="1">
        <f t="array" ref="C251">_xlfn.IFS(L251="Exceeds", "Top Performer", L251="Fully Meets", "Solid Performer", L251="Needs Improvement", "Underperformer", L251="PIP", "At Risk")</f>
        <v>Solid Performer</v>
      </c>
      <c r="D251" t="str" cm="1">
        <f t="array" ref="D251">_xlfn.IFS(G251="Active", "Retained", G251="Voluntarily Terminated", "Voluntary Exit", G251="Terminated for Cause", "Involuntary Exit")</f>
        <v>Voluntary Exit</v>
      </c>
      <c r="E251" s="1">
        <v>42308</v>
      </c>
      <c r="F251" t="s">
        <v>69</v>
      </c>
      <c r="G251" t="s">
        <v>61</v>
      </c>
      <c r="H251" t="s">
        <v>62</v>
      </c>
      <c r="I251" t="s">
        <v>63</v>
      </c>
      <c r="J251">
        <v>4</v>
      </c>
      <c r="K251" t="s">
        <v>55</v>
      </c>
      <c r="L251" t="s">
        <v>65</v>
      </c>
      <c r="M251">
        <v>4.2</v>
      </c>
      <c r="N251">
        <v>3</v>
      </c>
    </row>
    <row r="252" spans="1:14">
      <c r="A252">
        <v>10169</v>
      </c>
      <c r="B252" t="s">
        <v>43</v>
      </c>
      <c r="C252" t="str" cm="1">
        <f t="array" ref="C252">_xlfn.IFS(L252="Exceeds", "Top Performer", L252="Fully Meets", "Solid Performer", L252="Needs Improvement", "Underperformer", L252="PIP", "At Risk")</f>
        <v>Solid Performer</v>
      </c>
      <c r="D252" t="str" cm="1">
        <f t="array" ref="D252">_xlfn.IFS(G252="Active", "Retained", G252="Voluntarily Terminated", "Voluntary Exit", G252="Terminated for Cause", "Involuntary Exit")</f>
        <v>Retained</v>
      </c>
      <c r="F252" t="s">
        <v>51</v>
      </c>
      <c r="G252" t="s">
        <v>52</v>
      </c>
      <c r="H252" t="s">
        <v>53</v>
      </c>
      <c r="I252" t="s">
        <v>72</v>
      </c>
      <c r="J252">
        <v>16</v>
      </c>
      <c r="K252" t="s">
        <v>55</v>
      </c>
      <c r="L252" t="s">
        <v>65</v>
      </c>
      <c r="M252">
        <v>3.51</v>
      </c>
      <c r="N252">
        <v>3</v>
      </c>
    </row>
    <row r="253" spans="1:14">
      <c r="A253">
        <v>10071</v>
      </c>
      <c r="B253" t="s">
        <v>43</v>
      </c>
      <c r="C253" t="str" cm="1">
        <f t="array" ref="C253">_xlfn.IFS(L253="Exceeds", "Top Performer", L253="Fully Meets", "Solid Performer", L253="Needs Improvement", "Underperformer", L253="PIP", "At Risk")</f>
        <v>Solid Performer</v>
      </c>
      <c r="D253" t="str" cm="1">
        <f t="array" ref="D253">_xlfn.IFS(G253="Active", "Retained", G253="Voluntarily Terminated", "Voluntary Exit", G253="Terminated for Cause", "Involuntary Exit")</f>
        <v>Retained</v>
      </c>
      <c r="F253" t="s">
        <v>51</v>
      </c>
      <c r="G253" t="s">
        <v>52</v>
      </c>
      <c r="H253" t="s">
        <v>53</v>
      </c>
      <c r="I253" t="s">
        <v>76</v>
      </c>
      <c r="K253" t="s">
        <v>77</v>
      </c>
      <c r="L253" t="s">
        <v>65</v>
      </c>
      <c r="M253">
        <v>5</v>
      </c>
      <c r="N253">
        <v>5</v>
      </c>
    </row>
    <row r="254" spans="1:14">
      <c r="A254">
        <v>10179</v>
      </c>
      <c r="B254" t="s">
        <v>43</v>
      </c>
      <c r="C254" t="str" cm="1">
        <f t="array" ref="C254">_xlfn.IFS(L254="Exceeds", "Top Performer", L254="Fully Meets", "Solid Performer", L254="Needs Improvement", "Underperformer", L254="PIP", "At Risk")</f>
        <v>Solid Performer</v>
      </c>
      <c r="D254" t="str" cm="1">
        <f t="array" ref="D254">_xlfn.IFS(G254="Active", "Retained", G254="Voluntarily Terminated", "Voluntary Exit", G254="Terminated for Cause", "Involuntary Exit")</f>
        <v>Retained</v>
      </c>
      <c r="F254" t="s">
        <v>51</v>
      </c>
      <c r="G254" t="s">
        <v>52</v>
      </c>
      <c r="H254" t="s">
        <v>62</v>
      </c>
      <c r="I254" t="s">
        <v>94</v>
      </c>
      <c r="J254">
        <v>7</v>
      </c>
      <c r="K254" t="s">
        <v>55</v>
      </c>
      <c r="L254" t="s">
        <v>65</v>
      </c>
      <c r="M254">
        <v>3.31</v>
      </c>
      <c r="N254">
        <v>3</v>
      </c>
    </row>
    <row r="255" spans="1:14">
      <c r="A255">
        <v>10091</v>
      </c>
      <c r="B255" t="s">
        <v>43</v>
      </c>
      <c r="C255" t="str" cm="1">
        <f t="array" ref="C255">_xlfn.IFS(L255="Exceeds", "Top Performer", L255="Fully Meets", "Solid Performer", L255="Needs Improvement", "Underperformer", L255="PIP", "At Risk")</f>
        <v>Solid Performer</v>
      </c>
      <c r="D255" t="str" cm="1">
        <f t="array" ref="D255">_xlfn.IFS(G255="Active", "Retained", G255="Voluntarily Terminated", "Voluntary Exit", G255="Terminated for Cause", "Involuntary Exit")</f>
        <v>Retained</v>
      </c>
      <c r="F255" t="s">
        <v>51</v>
      </c>
      <c r="G255" t="s">
        <v>52</v>
      </c>
      <c r="H255" t="s">
        <v>53</v>
      </c>
      <c r="I255" t="s">
        <v>79</v>
      </c>
      <c r="J255">
        <v>11</v>
      </c>
      <c r="K255" t="s">
        <v>55</v>
      </c>
      <c r="L255" t="s">
        <v>65</v>
      </c>
      <c r="M255">
        <v>4.8099999999999996</v>
      </c>
      <c r="N255">
        <v>4</v>
      </c>
    </row>
    <row r="256" spans="1:14">
      <c r="A256">
        <v>10178</v>
      </c>
      <c r="B256" t="s">
        <v>503</v>
      </c>
      <c r="C256" t="str" cm="1">
        <f t="array" ref="C256">_xlfn.IFS(L256="Exceeds", "Top Performer", L256="Fully Meets", "Solid Performer", L256="Needs Improvement", "Underperformer", L256="PIP", "At Risk")</f>
        <v>Solid Performer</v>
      </c>
      <c r="D256" t="str" cm="1">
        <f t="array" ref="D256">_xlfn.IFS(G256="Active", "Retained", G256="Voluntarily Terminated", "Voluntary Exit", G256="Terminated for Cause", "Involuntary Exit")</f>
        <v>Retained</v>
      </c>
      <c r="F256" t="s">
        <v>51</v>
      </c>
      <c r="G256" t="s">
        <v>52</v>
      </c>
      <c r="H256" t="s">
        <v>62</v>
      </c>
      <c r="I256" t="s">
        <v>63</v>
      </c>
      <c r="J256">
        <v>4</v>
      </c>
      <c r="K256" t="s">
        <v>87</v>
      </c>
      <c r="L256" t="s">
        <v>65</v>
      </c>
      <c r="M256">
        <v>3.32</v>
      </c>
      <c r="N256">
        <v>3</v>
      </c>
    </row>
    <row r="257" spans="1:14">
      <c r="A257">
        <v>10039</v>
      </c>
      <c r="B257" t="s">
        <v>43</v>
      </c>
      <c r="C257" t="str" cm="1">
        <f t="array" ref="C257">_xlfn.IFS(L257="Exceeds", "Top Performer", L257="Fully Meets", "Solid Performer", L257="Needs Improvement", "Underperformer", L257="PIP", "At Risk")</f>
        <v>Solid Performer</v>
      </c>
      <c r="D257" t="str" cm="1">
        <f t="array" ref="D257">_xlfn.IFS(G257="Active", "Retained", G257="Voluntarily Terminated", "Voluntary Exit", G257="Terminated for Cause", "Involuntary Exit")</f>
        <v>Retained</v>
      </c>
      <c r="F257" t="s">
        <v>51</v>
      </c>
      <c r="G257" t="s">
        <v>52</v>
      </c>
      <c r="H257" t="s">
        <v>133</v>
      </c>
      <c r="I257" t="s">
        <v>134</v>
      </c>
      <c r="J257">
        <v>1</v>
      </c>
      <c r="K257" t="s">
        <v>208</v>
      </c>
      <c r="L257" t="s">
        <v>65</v>
      </c>
      <c r="M257">
        <v>5</v>
      </c>
      <c r="N257">
        <v>3</v>
      </c>
    </row>
    <row r="258" spans="1:14">
      <c r="A258">
        <v>10095</v>
      </c>
      <c r="B258" t="s">
        <v>43</v>
      </c>
      <c r="C258" t="str" cm="1">
        <f t="array" ref="C258">_xlfn.IFS(L258="Exceeds", "Top Performer", L258="Fully Meets", "Solid Performer", L258="Needs Improvement", "Underperformer", L258="PIP", "At Risk")</f>
        <v>Solid Performer</v>
      </c>
      <c r="D258" t="str" cm="1">
        <f t="array" ref="D258">_xlfn.IFS(G258="Active", "Retained", G258="Voluntarily Terminated", "Voluntary Exit", G258="Terminated for Cause", "Involuntary Exit")</f>
        <v>Voluntary Exit</v>
      </c>
      <c r="E258" s="1">
        <v>42102</v>
      </c>
      <c r="F258" t="s">
        <v>303</v>
      </c>
      <c r="G258" t="s">
        <v>61</v>
      </c>
      <c r="H258" t="s">
        <v>53</v>
      </c>
      <c r="I258" t="s">
        <v>54</v>
      </c>
      <c r="J258">
        <v>22</v>
      </c>
      <c r="K258" t="s">
        <v>124</v>
      </c>
      <c r="L258" t="s">
        <v>65</v>
      </c>
      <c r="M258">
        <v>4.68</v>
      </c>
      <c r="N258">
        <v>4</v>
      </c>
    </row>
    <row r="259" spans="1:14">
      <c r="A259">
        <v>10027</v>
      </c>
      <c r="B259" t="s">
        <v>43</v>
      </c>
      <c r="C259" t="str" cm="1">
        <f t="array" ref="C259">_xlfn.IFS(L259="Exceeds", "Top Performer", L259="Fully Meets", "Solid Performer", L259="Needs Improvement", "Underperformer", L259="PIP", "At Risk")</f>
        <v>Top Performer</v>
      </c>
      <c r="D259" t="str" cm="1">
        <f t="array" ref="D259">_xlfn.IFS(G259="Active", "Retained", G259="Voluntarily Terminated", "Voluntary Exit", G259="Terminated for Cause", "Involuntary Exit")</f>
        <v>Retained</v>
      </c>
      <c r="F259" t="s">
        <v>51</v>
      </c>
      <c r="G259" t="s">
        <v>52</v>
      </c>
      <c r="H259" t="s">
        <v>53</v>
      </c>
      <c r="I259" t="s">
        <v>72</v>
      </c>
      <c r="J259">
        <v>16</v>
      </c>
      <c r="K259" t="s">
        <v>64</v>
      </c>
      <c r="L259" t="s">
        <v>56</v>
      </c>
      <c r="M259">
        <v>4.3</v>
      </c>
      <c r="N259">
        <v>3</v>
      </c>
    </row>
    <row r="260" spans="1:14">
      <c r="A260">
        <v>10291</v>
      </c>
      <c r="B260" t="s">
        <v>503</v>
      </c>
      <c r="C260" t="str" cm="1">
        <f t="array" ref="C260">_xlfn.IFS(L260="Exceeds", "Top Performer", L260="Fully Meets", "Solid Performer", L260="Needs Improvement", "Underperformer", L260="PIP", "At Risk")</f>
        <v>Underperformer</v>
      </c>
      <c r="D260" t="str" cm="1">
        <f t="array" ref="D260">_xlfn.IFS(G260="Active", "Retained", G260="Voluntarily Terminated", "Voluntary Exit", G260="Terminated for Cause", "Involuntary Exit")</f>
        <v>Retained</v>
      </c>
      <c r="F260" t="s">
        <v>51</v>
      </c>
      <c r="G260" t="s">
        <v>52</v>
      </c>
      <c r="H260" t="s">
        <v>148</v>
      </c>
      <c r="I260" t="s">
        <v>189</v>
      </c>
      <c r="J260">
        <v>15</v>
      </c>
      <c r="K260" t="s">
        <v>91</v>
      </c>
      <c r="L260" t="s">
        <v>125</v>
      </c>
      <c r="M260">
        <v>2.4</v>
      </c>
      <c r="N260">
        <v>4</v>
      </c>
    </row>
    <row r="261" spans="1:14">
      <c r="A261">
        <v>10153</v>
      </c>
      <c r="B261" t="s">
        <v>43</v>
      </c>
      <c r="C261" t="str" cm="1">
        <f t="array" ref="C261">_xlfn.IFS(L261="Exceeds", "Top Performer", L261="Fully Meets", "Solid Performer", L261="Needs Improvement", "Underperformer", L261="PIP", "At Risk")</f>
        <v>Solid Performer</v>
      </c>
      <c r="D261" t="str" cm="1">
        <f t="array" ref="D261">_xlfn.IFS(G261="Active", "Retained", G261="Voluntarily Terminated", "Voluntary Exit", G261="Terminated for Cause", "Involuntary Exit")</f>
        <v>Voluntary Exit</v>
      </c>
      <c r="E261" s="1">
        <v>41542</v>
      </c>
      <c r="F261" t="s">
        <v>60</v>
      </c>
      <c r="G261" t="s">
        <v>61</v>
      </c>
      <c r="H261" t="s">
        <v>133</v>
      </c>
      <c r="I261" t="s">
        <v>134</v>
      </c>
      <c r="J261">
        <v>1</v>
      </c>
      <c r="K261" t="s">
        <v>91</v>
      </c>
      <c r="L261" t="s">
        <v>65</v>
      </c>
      <c r="M261">
        <v>3.8</v>
      </c>
      <c r="N261">
        <v>4</v>
      </c>
    </row>
    <row r="262" spans="1:14">
      <c r="A262">
        <v>10157</v>
      </c>
      <c r="B262" t="s">
        <v>43</v>
      </c>
      <c r="C262" t="str" cm="1">
        <f t="array" ref="C262">_xlfn.IFS(L262="Exceeds", "Top Performer", L262="Fully Meets", "Solid Performer", L262="Needs Improvement", "Underperformer", L262="PIP", "At Risk")</f>
        <v>Solid Performer</v>
      </c>
      <c r="D262" t="str" cm="1">
        <f t="array" ref="D262">_xlfn.IFS(G262="Active", "Retained", G262="Voluntarily Terminated", "Voluntary Exit", G262="Terminated for Cause", "Involuntary Exit")</f>
        <v>Retained</v>
      </c>
      <c r="F262" t="s">
        <v>51</v>
      </c>
      <c r="G262" t="s">
        <v>52</v>
      </c>
      <c r="H262" t="s">
        <v>53</v>
      </c>
      <c r="I262" t="s">
        <v>86</v>
      </c>
      <c r="J262">
        <v>19</v>
      </c>
      <c r="K262" t="s">
        <v>87</v>
      </c>
      <c r="L262" t="s">
        <v>65</v>
      </c>
      <c r="M262">
        <v>3.73</v>
      </c>
      <c r="N262">
        <v>3</v>
      </c>
    </row>
    <row r="263" spans="1:14">
      <c r="A263">
        <v>10119</v>
      </c>
      <c r="B263" t="s">
        <v>43</v>
      </c>
      <c r="C263" t="str" cm="1">
        <f t="array" ref="C263">_xlfn.IFS(L263="Exceeds", "Top Performer", L263="Fully Meets", "Solid Performer", L263="Needs Improvement", "Underperformer", L263="PIP", "At Risk")</f>
        <v>Solid Performer</v>
      </c>
      <c r="D263" t="str" cm="1">
        <f t="array" ref="D263">_xlfn.IFS(G263="Active", "Retained", G263="Voluntarily Terminated", "Voluntary Exit", G263="Terminated for Cause", "Involuntary Exit")</f>
        <v>Retained</v>
      </c>
      <c r="F263" t="s">
        <v>51</v>
      </c>
      <c r="G263" t="s">
        <v>52</v>
      </c>
      <c r="H263" t="s">
        <v>62</v>
      </c>
      <c r="I263" t="s">
        <v>173</v>
      </c>
      <c r="J263">
        <v>6</v>
      </c>
      <c r="K263" t="s">
        <v>55</v>
      </c>
      <c r="L263" t="s">
        <v>65</v>
      </c>
      <c r="M263">
        <v>4.3</v>
      </c>
      <c r="N263">
        <v>3</v>
      </c>
    </row>
    <row r="264" spans="1:14">
      <c r="A264">
        <v>10180</v>
      </c>
      <c r="B264" t="s">
        <v>503</v>
      </c>
      <c r="C264" t="str" cm="1">
        <f t="array" ref="C264">_xlfn.IFS(L264="Exceeds", "Top Performer", L264="Fully Meets", "Solid Performer", L264="Needs Improvement", "Underperformer", L264="PIP", "At Risk")</f>
        <v>Solid Performer</v>
      </c>
      <c r="D264" t="str" cm="1">
        <f t="array" ref="D264">_xlfn.IFS(G264="Active", "Retained", G264="Voluntarily Terminated", "Voluntary Exit", G264="Terminated for Cause", "Involuntary Exit")</f>
        <v>Retained</v>
      </c>
      <c r="F264" t="s">
        <v>51</v>
      </c>
      <c r="G264" t="s">
        <v>52</v>
      </c>
      <c r="H264" t="s">
        <v>62</v>
      </c>
      <c r="I264" t="s">
        <v>94</v>
      </c>
      <c r="J264">
        <v>7</v>
      </c>
      <c r="K264" t="s">
        <v>55</v>
      </c>
      <c r="L264" t="s">
        <v>65</v>
      </c>
      <c r="M264">
        <v>3.27</v>
      </c>
      <c r="N264">
        <v>4</v>
      </c>
    </row>
    <row r="265" spans="1:14">
      <c r="A265">
        <v>10302</v>
      </c>
      <c r="B265" t="s">
        <v>43</v>
      </c>
      <c r="C265" t="str" cm="1">
        <f t="array" ref="C265">_xlfn.IFS(L265="Exceeds", "Top Performer", L265="Fully Meets", "Solid Performer", L265="Needs Improvement", "Underperformer", L265="PIP", "At Risk")</f>
        <v>At Risk</v>
      </c>
      <c r="D265" t="str" cm="1">
        <f t="array" ref="D265">_xlfn.IFS(G265="Active", "Retained", G265="Voluntarily Terminated", "Voluntary Exit", G265="Terminated for Cause", "Involuntary Exit")</f>
        <v>Retained</v>
      </c>
      <c r="F265" t="s">
        <v>51</v>
      </c>
      <c r="G265" t="s">
        <v>52</v>
      </c>
      <c r="H265" t="s">
        <v>53</v>
      </c>
      <c r="I265" t="s">
        <v>90</v>
      </c>
      <c r="J265">
        <v>12</v>
      </c>
      <c r="K265" t="s">
        <v>64</v>
      </c>
      <c r="L265" t="s">
        <v>198</v>
      </c>
      <c r="M265">
        <v>2.4</v>
      </c>
      <c r="N265">
        <v>2</v>
      </c>
    </row>
    <row r="266" spans="1:14">
      <c r="A266">
        <v>10090</v>
      </c>
      <c r="B266" t="s">
        <v>43</v>
      </c>
      <c r="C266" t="str" cm="1">
        <f t="array" ref="C266">_xlfn.IFS(L266="Exceeds", "Top Performer", L266="Fully Meets", "Solid Performer", L266="Needs Improvement", "Underperformer", L266="PIP", "At Risk")</f>
        <v>Solid Performer</v>
      </c>
      <c r="D266" t="str" cm="1">
        <f t="array" ref="D266">_xlfn.IFS(G266="Active", "Retained", G266="Voluntarily Terminated", "Voluntary Exit", G266="Terminated for Cause", "Involuntary Exit")</f>
        <v>Retained</v>
      </c>
      <c r="F266" t="s">
        <v>51</v>
      </c>
      <c r="G266" t="s">
        <v>52</v>
      </c>
      <c r="H266" t="s">
        <v>53</v>
      </c>
      <c r="I266" t="s">
        <v>138</v>
      </c>
      <c r="J266">
        <v>2</v>
      </c>
      <c r="K266" t="s">
        <v>55</v>
      </c>
      <c r="L266" t="s">
        <v>65</v>
      </c>
      <c r="M266">
        <v>4.83</v>
      </c>
      <c r="N266">
        <v>5</v>
      </c>
    </row>
    <row r="267" spans="1:14">
      <c r="A267">
        <v>10030</v>
      </c>
      <c r="B267" t="s">
        <v>43</v>
      </c>
      <c r="C267" t="str" cm="1">
        <f t="array" ref="C267">_xlfn.IFS(L267="Exceeds", "Top Performer", L267="Fully Meets", "Solid Performer", L267="Needs Improvement", "Underperformer", L267="PIP", "At Risk")</f>
        <v>Top Performer</v>
      </c>
      <c r="D267" t="str" cm="1">
        <f t="array" ref="D267">_xlfn.IFS(G267="Active", "Retained", G267="Voluntarily Terminated", "Voluntary Exit", G267="Terminated for Cause", "Involuntary Exit")</f>
        <v>Voluntary Exit</v>
      </c>
      <c r="E267" s="1">
        <v>42184</v>
      </c>
      <c r="F267" t="s">
        <v>100</v>
      </c>
      <c r="G267" t="s">
        <v>61</v>
      </c>
      <c r="H267" t="s">
        <v>53</v>
      </c>
      <c r="I267" t="s">
        <v>98</v>
      </c>
      <c r="J267">
        <v>14</v>
      </c>
      <c r="K267" t="s">
        <v>55</v>
      </c>
      <c r="L267" t="s">
        <v>56</v>
      </c>
      <c r="M267">
        <v>4.0999999999999996</v>
      </c>
      <c r="N267">
        <v>4</v>
      </c>
    </row>
    <row r="268" spans="1:14">
      <c r="A268">
        <v>10278</v>
      </c>
      <c r="B268" t="s">
        <v>43</v>
      </c>
      <c r="C268" t="str" cm="1">
        <f t="array" ref="C268">_xlfn.IFS(L268="Exceeds", "Top Performer", L268="Fully Meets", "Solid Performer", L268="Needs Improvement", "Underperformer", L268="PIP", "At Risk")</f>
        <v>Solid Performer</v>
      </c>
      <c r="D268" t="str" cm="1">
        <f t="array" ref="D268">_xlfn.IFS(G268="Active", "Retained", G268="Voluntarily Terminated", "Voluntary Exit", G268="Terminated for Cause", "Involuntary Exit")</f>
        <v>Retained</v>
      </c>
      <c r="F268" t="s">
        <v>51</v>
      </c>
      <c r="G268" t="s">
        <v>52</v>
      </c>
      <c r="H268" t="s">
        <v>53</v>
      </c>
      <c r="I268" t="s">
        <v>70</v>
      </c>
      <c r="J268">
        <v>20</v>
      </c>
      <c r="K268" t="s">
        <v>77</v>
      </c>
      <c r="L268" t="s">
        <v>65</v>
      </c>
      <c r="M268">
        <v>4.0999999999999996</v>
      </c>
      <c r="N268">
        <v>4</v>
      </c>
    </row>
    <row r="269" spans="1:14">
      <c r="A269">
        <v>10307</v>
      </c>
      <c r="B269" t="s">
        <v>43</v>
      </c>
      <c r="C269" t="str" cm="1">
        <f t="array" ref="C269">_xlfn.IFS(L269="Exceeds", "Top Performer", L269="Fully Meets", "Solid Performer", L269="Needs Improvement", "Underperformer", L269="PIP", "At Risk")</f>
        <v>At Risk</v>
      </c>
      <c r="D269" t="str" cm="1">
        <f t="array" ref="D269">_xlfn.IFS(G269="Active", "Retained", G269="Voluntarily Terminated", "Voluntary Exit", G269="Terminated for Cause", "Involuntary Exit")</f>
        <v>Retained</v>
      </c>
      <c r="F269" t="s">
        <v>51</v>
      </c>
      <c r="G269" t="s">
        <v>52</v>
      </c>
      <c r="H269" t="s">
        <v>148</v>
      </c>
      <c r="I269" t="s">
        <v>167</v>
      </c>
      <c r="J269">
        <v>21</v>
      </c>
      <c r="K269" t="s">
        <v>208</v>
      </c>
      <c r="L269" t="s">
        <v>198</v>
      </c>
      <c r="M269">
        <v>1.81</v>
      </c>
      <c r="N269">
        <v>2</v>
      </c>
    </row>
    <row r="270" spans="1:14">
      <c r="A270">
        <v>10147</v>
      </c>
      <c r="B270" t="s">
        <v>43</v>
      </c>
      <c r="C270" t="str" cm="1">
        <f t="array" ref="C270">_xlfn.IFS(L270="Exceeds", "Top Performer", L270="Fully Meets", "Solid Performer", L270="Needs Improvement", "Underperformer", L270="PIP", "At Risk")</f>
        <v>Solid Performer</v>
      </c>
      <c r="D270" t="str" cm="1">
        <f t="array" ref="D270">_xlfn.IFS(G270="Active", "Retained", G270="Voluntarily Terminated", "Voluntary Exit", G270="Terminated for Cause", "Involuntary Exit")</f>
        <v>Retained</v>
      </c>
      <c r="F270" t="s">
        <v>51</v>
      </c>
      <c r="G270" t="s">
        <v>52</v>
      </c>
      <c r="H270" t="s">
        <v>133</v>
      </c>
      <c r="I270" t="s">
        <v>134</v>
      </c>
      <c r="J270">
        <v>1</v>
      </c>
      <c r="K270" t="s">
        <v>64</v>
      </c>
      <c r="L270" t="s">
        <v>65</v>
      </c>
      <c r="M270">
        <v>3.9</v>
      </c>
      <c r="N270">
        <v>5</v>
      </c>
    </row>
    <row r="271" spans="1:14">
      <c r="A271">
        <v>10266</v>
      </c>
      <c r="B271" t="s">
        <v>43</v>
      </c>
      <c r="C271" t="str" cm="1">
        <f t="array" ref="C271">_xlfn.IFS(L271="Exceeds", "Top Performer", L271="Fully Meets", "Solid Performer", L271="Needs Improvement", "Underperformer", L271="PIP", "At Risk")</f>
        <v>Solid Performer</v>
      </c>
      <c r="D271" t="str" cm="1">
        <f t="array" ref="D271">_xlfn.IFS(G271="Active", "Retained", G271="Voluntarily Terminated", "Voluntary Exit", G271="Terminated for Cause", "Involuntary Exit")</f>
        <v>Retained</v>
      </c>
      <c r="F271" t="s">
        <v>51</v>
      </c>
      <c r="G271" t="s">
        <v>52</v>
      </c>
      <c r="H271" t="s">
        <v>53</v>
      </c>
      <c r="I271" t="s">
        <v>106</v>
      </c>
      <c r="J271">
        <v>18</v>
      </c>
      <c r="K271" t="s">
        <v>55</v>
      </c>
      <c r="L271" t="s">
        <v>65</v>
      </c>
      <c r="M271">
        <v>4.7</v>
      </c>
      <c r="N271">
        <v>3</v>
      </c>
    </row>
    <row r="272" spans="1:14">
      <c r="A272">
        <v>10241</v>
      </c>
      <c r="B272" t="s">
        <v>43</v>
      </c>
      <c r="C272" t="str" cm="1">
        <f t="array" ref="C272">_xlfn.IFS(L272="Exceeds", "Top Performer", L272="Fully Meets", "Solid Performer", L272="Needs Improvement", "Underperformer", L272="PIP", "At Risk")</f>
        <v>Solid Performer</v>
      </c>
      <c r="D272" t="str" cm="1">
        <f t="array" ref="D272">_xlfn.IFS(G272="Active", "Retained", G272="Voluntarily Terminated", "Voluntary Exit", G272="Terminated for Cause", "Involuntary Exit")</f>
        <v>Retained</v>
      </c>
      <c r="F272" t="s">
        <v>51</v>
      </c>
      <c r="G272" t="s">
        <v>52</v>
      </c>
      <c r="H272" t="s">
        <v>148</v>
      </c>
      <c r="I272" t="s">
        <v>149</v>
      </c>
      <c r="J272">
        <v>17</v>
      </c>
      <c r="K272" t="s">
        <v>64</v>
      </c>
      <c r="L272" t="s">
        <v>65</v>
      </c>
      <c r="M272">
        <v>4.0999999999999996</v>
      </c>
      <c r="N272">
        <v>4</v>
      </c>
    </row>
    <row r="273" spans="1:14">
      <c r="A273">
        <v>10158</v>
      </c>
      <c r="B273" t="s">
        <v>43</v>
      </c>
      <c r="C273" t="str" cm="1">
        <f t="array" ref="C273">_xlfn.IFS(L273="Exceeds", "Top Performer", L273="Fully Meets", "Solid Performer", L273="Needs Improvement", "Underperformer", L273="PIP", "At Risk")</f>
        <v>Solid Performer</v>
      </c>
      <c r="D273" t="str" cm="1">
        <f t="array" ref="D273">_xlfn.IFS(G273="Active", "Retained", G273="Voluntarily Terminated", "Voluntary Exit", G273="Terminated for Cause", "Involuntary Exit")</f>
        <v>Retained</v>
      </c>
      <c r="F273" t="s">
        <v>51</v>
      </c>
      <c r="G273" t="s">
        <v>52</v>
      </c>
      <c r="H273" t="s">
        <v>53</v>
      </c>
      <c r="I273" t="s">
        <v>138</v>
      </c>
      <c r="J273">
        <v>2</v>
      </c>
      <c r="K273" t="s">
        <v>64</v>
      </c>
      <c r="L273" t="s">
        <v>65</v>
      </c>
      <c r="M273">
        <v>3.73</v>
      </c>
      <c r="N273">
        <v>4</v>
      </c>
    </row>
    <row r="274" spans="1:14">
      <c r="A274">
        <v>10117</v>
      </c>
      <c r="B274" t="s">
        <v>43</v>
      </c>
      <c r="C274" t="str" cm="1">
        <f t="array" ref="C274">_xlfn.IFS(L274="Exceeds", "Top Performer", L274="Fully Meets", "Solid Performer", L274="Needs Improvement", "Underperformer", L274="PIP", "At Risk")</f>
        <v>Solid Performer</v>
      </c>
      <c r="D274" t="str" cm="1">
        <f t="array" ref="D274">_xlfn.IFS(G274="Active", "Retained", G274="Voluntarily Terminated", "Voluntary Exit", G274="Terminated for Cause", "Involuntary Exit")</f>
        <v>Retained</v>
      </c>
      <c r="F274" t="s">
        <v>51</v>
      </c>
      <c r="G274" t="s">
        <v>52</v>
      </c>
      <c r="H274" t="s">
        <v>53</v>
      </c>
      <c r="I274" t="s">
        <v>54</v>
      </c>
      <c r="J274">
        <v>22</v>
      </c>
      <c r="K274" t="s">
        <v>77</v>
      </c>
      <c r="L274" t="s">
        <v>65</v>
      </c>
      <c r="M274">
        <v>4.3600000000000003</v>
      </c>
      <c r="N274">
        <v>5</v>
      </c>
    </row>
    <row r="275" spans="1:14">
      <c r="A275">
        <v>10209</v>
      </c>
      <c r="B275" t="s">
        <v>43</v>
      </c>
      <c r="C275" t="str" cm="1">
        <f t="array" ref="C275">_xlfn.IFS(L275="Exceeds", "Top Performer", L275="Fully Meets", "Solid Performer", L275="Needs Improvement", "Underperformer", L275="PIP", "At Risk")</f>
        <v>Solid Performer</v>
      </c>
      <c r="D275" t="str" cm="1">
        <f t="array" ref="D275">_xlfn.IFS(G275="Active", "Retained", G275="Voluntarily Terminated", "Voluntary Exit", G275="Terminated for Cause", "Involuntary Exit")</f>
        <v>Retained</v>
      </c>
      <c r="F275" t="s">
        <v>51</v>
      </c>
      <c r="G275" t="s">
        <v>52</v>
      </c>
      <c r="H275" t="s">
        <v>53</v>
      </c>
      <c r="I275" t="s">
        <v>72</v>
      </c>
      <c r="J275">
        <v>16</v>
      </c>
      <c r="K275" t="s">
        <v>64</v>
      </c>
      <c r="L275" t="s">
        <v>65</v>
      </c>
      <c r="M275">
        <v>3.4</v>
      </c>
      <c r="N275">
        <v>5</v>
      </c>
    </row>
    <row r="276" spans="1:14">
      <c r="A276">
        <v>10024</v>
      </c>
      <c r="B276" t="s">
        <v>503</v>
      </c>
      <c r="C276" t="str" cm="1">
        <f t="array" ref="C276">_xlfn.IFS(L276="Exceeds", "Top Performer", L276="Fully Meets", "Solid Performer", L276="Needs Improvement", "Underperformer", L276="PIP", "At Risk")</f>
        <v>Top Performer</v>
      </c>
      <c r="D276" t="str" cm="1">
        <f t="array" ref="D276">_xlfn.IFS(G276="Active", "Retained", G276="Voluntarily Terminated", "Voluntary Exit", G276="Terminated for Cause", "Involuntary Exit")</f>
        <v>Retained</v>
      </c>
      <c r="F276" t="s">
        <v>51</v>
      </c>
      <c r="G276" t="s">
        <v>52</v>
      </c>
      <c r="H276" t="s">
        <v>82</v>
      </c>
      <c r="I276" t="s">
        <v>83</v>
      </c>
      <c r="J276">
        <v>10</v>
      </c>
      <c r="K276" t="s">
        <v>55</v>
      </c>
      <c r="L276" t="s">
        <v>56</v>
      </c>
      <c r="M276">
        <v>4.5</v>
      </c>
      <c r="N276">
        <v>5</v>
      </c>
    </row>
    <row r="277" spans="1:14">
      <c r="A277">
        <v>10173</v>
      </c>
      <c r="B277" t="s">
        <v>503</v>
      </c>
      <c r="C277" t="str" cm="1">
        <f t="array" ref="C277">_xlfn.IFS(L277="Exceeds", "Top Performer", L277="Fully Meets", "Solid Performer", L277="Needs Improvement", "Underperformer", L277="PIP", "At Risk")</f>
        <v>Solid Performer</v>
      </c>
      <c r="D277" t="str" cm="1">
        <f t="array" ref="D277">_xlfn.IFS(G277="Active", "Retained", G277="Voluntarily Terminated", "Voluntary Exit", G277="Terminated for Cause", "Involuntary Exit")</f>
        <v>Retained</v>
      </c>
      <c r="F277" t="s">
        <v>51</v>
      </c>
      <c r="G277" t="s">
        <v>52</v>
      </c>
      <c r="H277" t="s">
        <v>62</v>
      </c>
      <c r="I277" t="s">
        <v>204</v>
      </c>
      <c r="J277">
        <v>13</v>
      </c>
      <c r="K277" t="s">
        <v>64</v>
      </c>
      <c r="L277" t="s">
        <v>65</v>
      </c>
      <c r="M277">
        <v>3.4</v>
      </c>
      <c r="N277">
        <v>3</v>
      </c>
    </row>
    <row r="278" spans="1:14">
      <c r="A278">
        <v>10221</v>
      </c>
      <c r="B278" t="s">
        <v>43</v>
      </c>
      <c r="C278" t="str" cm="1">
        <f t="array" ref="C278">_xlfn.IFS(L278="Exceeds", "Top Performer", L278="Fully Meets", "Solid Performer", L278="Needs Improvement", "Underperformer", L278="PIP", "At Risk")</f>
        <v>Solid Performer</v>
      </c>
      <c r="D278" t="str" cm="1">
        <f t="array" ref="D278">_xlfn.IFS(G278="Active", "Retained", G278="Voluntarily Terminated", "Voluntary Exit", G278="Terminated for Cause", "Involuntary Exit")</f>
        <v>Voluntary Exit</v>
      </c>
      <c r="E278" s="1">
        <v>41365</v>
      </c>
      <c r="F278" t="s">
        <v>97</v>
      </c>
      <c r="G278" t="s">
        <v>61</v>
      </c>
      <c r="H278" t="s">
        <v>53</v>
      </c>
      <c r="I278" t="s">
        <v>76</v>
      </c>
      <c r="J278">
        <v>39</v>
      </c>
      <c r="K278" t="s">
        <v>91</v>
      </c>
      <c r="L278" t="s">
        <v>65</v>
      </c>
      <c r="M278">
        <v>4.5</v>
      </c>
      <c r="N278">
        <v>5</v>
      </c>
    </row>
    <row r="279" spans="1:14">
      <c r="A279">
        <v>10146</v>
      </c>
      <c r="B279" t="s">
        <v>503</v>
      </c>
      <c r="C279" t="str" cm="1">
        <f t="array" ref="C279">_xlfn.IFS(L279="Exceeds", "Top Performer", L279="Fully Meets", "Solid Performer", L279="Needs Improvement", "Underperformer", L279="PIP", "At Risk")</f>
        <v>Solid Performer</v>
      </c>
      <c r="D279" t="str" cm="1">
        <f t="array" ref="D279">_xlfn.IFS(G279="Active", "Retained", G279="Voluntarily Terminated", "Voluntary Exit", G279="Terminated for Cause", "Involuntary Exit")</f>
        <v>Voluntary Exit</v>
      </c>
      <c r="E279" s="1">
        <v>42924</v>
      </c>
      <c r="F279" t="s">
        <v>97</v>
      </c>
      <c r="G279" t="s">
        <v>61</v>
      </c>
      <c r="H279" t="s">
        <v>53</v>
      </c>
      <c r="I279" t="s">
        <v>72</v>
      </c>
      <c r="J279">
        <v>16</v>
      </c>
      <c r="K279" t="s">
        <v>77</v>
      </c>
      <c r="L279" t="s">
        <v>65</v>
      </c>
      <c r="M279">
        <v>3.93</v>
      </c>
      <c r="N279">
        <v>3</v>
      </c>
    </row>
    <row r="280" spans="1:14">
      <c r="A280">
        <v>10161</v>
      </c>
      <c r="B280" t="s">
        <v>43</v>
      </c>
      <c r="C280" t="str" cm="1">
        <f t="array" ref="C280">_xlfn.IFS(L280="Exceeds", "Top Performer", L280="Fully Meets", "Solid Performer", L280="Needs Improvement", "Underperformer", L280="PIP", "At Risk")</f>
        <v>Solid Performer</v>
      </c>
      <c r="D280" t="str" cm="1">
        <f t="array" ref="D280">_xlfn.IFS(G280="Active", "Retained", G280="Voluntarily Terminated", "Voluntary Exit", G280="Terminated for Cause", "Involuntary Exit")</f>
        <v>Retained</v>
      </c>
      <c r="F280" t="s">
        <v>51</v>
      </c>
      <c r="G280" t="s">
        <v>52</v>
      </c>
      <c r="H280" t="s">
        <v>148</v>
      </c>
      <c r="I280" t="s">
        <v>167</v>
      </c>
      <c r="J280">
        <v>21</v>
      </c>
      <c r="K280" t="s">
        <v>64</v>
      </c>
      <c r="L280" t="s">
        <v>65</v>
      </c>
      <c r="M280">
        <v>3.69</v>
      </c>
      <c r="N280">
        <v>3</v>
      </c>
    </row>
    <row r="281" spans="1:14">
      <c r="A281">
        <v>10141</v>
      </c>
      <c r="B281" t="s">
        <v>43</v>
      </c>
      <c r="C281" t="str" cm="1">
        <f t="array" ref="C281">_xlfn.IFS(L281="Exceeds", "Top Performer", L281="Fully Meets", "Solid Performer", L281="Needs Improvement", "Underperformer", L281="PIP", "At Risk")</f>
        <v>Solid Performer</v>
      </c>
      <c r="D281" t="str" cm="1">
        <f t="array" ref="D281">_xlfn.IFS(G281="Active", "Retained", G281="Voluntarily Terminated", "Voluntary Exit", G281="Terminated for Cause", "Involuntary Exit")</f>
        <v>Voluntary Exit</v>
      </c>
      <c r="E281" s="1">
        <v>42618</v>
      </c>
      <c r="F281" t="s">
        <v>75</v>
      </c>
      <c r="G281" t="s">
        <v>61</v>
      </c>
      <c r="H281" t="s">
        <v>53</v>
      </c>
      <c r="I281" t="s">
        <v>79</v>
      </c>
      <c r="J281">
        <v>11</v>
      </c>
      <c r="K281" t="s">
        <v>64</v>
      </c>
      <c r="L281" t="s">
        <v>65</v>
      </c>
      <c r="M281">
        <v>3.98</v>
      </c>
      <c r="N281">
        <v>4</v>
      </c>
    </row>
    <row r="282" spans="1:14">
      <c r="A282">
        <v>10268</v>
      </c>
      <c r="B282" t="s">
        <v>43</v>
      </c>
      <c r="C282" t="str" cm="1">
        <f t="array" ref="C282">_xlfn.IFS(L282="Exceeds", "Top Performer", L282="Fully Meets", "Solid Performer", L282="Needs Improvement", "Underperformer", L282="PIP", "At Risk")</f>
        <v>Solid Performer</v>
      </c>
      <c r="D282" t="str" cm="1">
        <f t="array" ref="D282">_xlfn.IFS(G282="Active", "Retained", G282="Voluntarily Terminated", "Voluntary Exit", G282="Terminated for Cause", "Involuntary Exit")</f>
        <v>Voluntary Exit</v>
      </c>
      <c r="E282" s="1">
        <v>40420</v>
      </c>
      <c r="F282" t="s">
        <v>219</v>
      </c>
      <c r="G282" t="s">
        <v>61</v>
      </c>
      <c r="H282" t="s">
        <v>53</v>
      </c>
      <c r="I282" t="s">
        <v>76</v>
      </c>
      <c r="J282">
        <v>39</v>
      </c>
      <c r="K282" t="s">
        <v>243</v>
      </c>
      <c r="L282" t="s">
        <v>65</v>
      </c>
      <c r="M282">
        <v>4.0999999999999996</v>
      </c>
      <c r="N282">
        <v>4</v>
      </c>
    </row>
    <row r="283" spans="1:14">
      <c r="A283">
        <v>10123</v>
      </c>
      <c r="B283" t="s">
        <v>43</v>
      </c>
      <c r="C283" t="str" cm="1">
        <f t="array" ref="C283">_xlfn.IFS(L283="Exceeds", "Top Performer", L283="Fully Meets", "Solid Performer", L283="Needs Improvement", "Underperformer", L283="PIP", "At Risk")</f>
        <v>Solid Performer</v>
      </c>
      <c r="D283" t="str" cm="1">
        <f t="array" ref="D283">_xlfn.IFS(G283="Active", "Retained", G283="Voluntarily Terminated", "Voluntary Exit", G283="Terminated for Cause", "Involuntary Exit")</f>
        <v>Retained</v>
      </c>
      <c r="F283" t="s">
        <v>51</v>
      </c>
      <c r="G283" t="s">
        <v>52</v>
      </c>
      <c r="H283" t="s">
        <v>53</v>
      </c>
      <c r="I283" t="s">
        <v>90</v>
      </c>
      <c r="J283">
        <v>12</v>
      </c>
      <c r="K283" t="s">
        <v>64</v>
      </c>
      <c r="L283" t="s">
        <v>65</v>
      </c>
      <c r="M283">
        <v>4.21</v>
      </c>
      <c r="N283">
        <v>5</v>
      </c>
    </row>
    <row r="284" spans="1:14">
      <c r="A284">
        <v>10013</v>
      </c>
      <c r="B284" t="s">
        <v>43</v>
      </c>
      <c r="C284" t="str" cm="1">
        <f t="array" ref="C284">_xlfn.IFS(L284="Exceeds", "Top Performer", L284="Fully Meets", "Solid Performer", L284="Needs Improvement", "Underperformer", L284="PIP", "At Risk")</f>
        <v>Top Performer</v>
      </c>
      <c r="D284" t="str" cm="1">
        <f t="array" ref="D284">_xlfn.IFS(G284="Active", "Retained", G284="Voluntarily Terminated", "Voluntary Exit", G284="Terminated for Cause", "Involuntary Exit")</f>
        <v>Retained</v>
      </c>
      <c r="F284" t="s">
        <v>51</v>
      </c>
      <c r="G284" t="s">
        <v>52</v>
      </c>
      <c r="H284" t="s">
        <v>148</v>
      </c>
      <c r="I284" t="s">
        <v>167</v>
      </c>
      <c r="J284">
        <v>21</v>
      </c>
      <c r="K284" t="s">
        <v>64</v>
      </c>
      <c r="L284" t="s">
        <v>56</v>
      </c>
      <c r="M284">
        <v>4.0999999999999996</v>
      </c>
      <c r="N284">
        <v>3</v>
      </c>
    </row>
    <row r="285" spans="1:14">
      <c r="A285">
        <v>10287</v>
      </c>
      <c r="B285" t="s">
        <v>43</v>
      </c>
      <c r="C285" t="str" cm="1">
        <f t="array" ref="C285">_xlfn.IFS(L285="Exceeds", "Top Performer", L285="Fully Meets", "Solid Performer", L285="Needs Improvement", "Underperformer", L285="PIP", "At Risk")</f>
        <v>Underperformer</v>
      </c>
      <c r="D285" t="str" cm="1">
        <f t="array" ref="D285">_xlfn.IFS(G285="Active", "Retained", G285="Voluntarily Terminated", "Voluntary Exit", G285="Terminated for Cause", "Involuntary Exit")</f>
        <v>Retained</v>
      </c>
      <c r="F285" t="s">
        <v>51</v>
      </c>
      <c r="G285" t="s">
        <v>52</v>
      </c>
      <c r="H285" t="s">
        <v>53</v>
      </c>
      <c r="I285" t="s">
        <v>98</v>
      </c>
      <c r="J285">
        <v>14</v>
      </c>
      <c r="K285" t="s">
        <v>55</v>
      </c>
      <c r="L285" t="s">
        <v>125</v>
      </c>
      <c r="M285">
        <v>2.44</v>
      </c>
      <c r="N285">
        <v>5</v>
      </c>
    </row>
    <row r="286" spans="1:14">
      <c r="A286">
        <v>10044</v>
      </c>
      <c r="B286" t="s">
        <v>503</v>
      </c>
      <c r="C286" t="str" cm="1">
        <f t="array" ref="C286">_xlfn.IFS(L286="Exceeds", "Top Performer", L286="Fully Meets", "Solid Performer", L286="Needs Improvement", "Underperformer", L286="PIP", "At Risk")</f>
        <v>Solid Performer</v>
      </c>
      <c r="D286" t="str" cm="1">
        <f t="array" ref="D286">_xlfn.IFS(G286="Active", "Retained", G286="Voluntarily Terminated", "Voluntary Exit", G286="Terminated for Cause", "Involuntary Exit")</f>
        <v>Voluntary Exit</v>
      </c>
      <c r="E286" s="1">
        <v>42412</v>
      </c>
      <c r="F286" t="s">
        <v>386</v>
      </c>
      <c r="G286" t="s">
        <v>61</v>
      </c>
      <c r="H286" t="s">
        <v>62</v>
      </c>
      <c r="I286" t="s">
        <v>94</v>
      </c>
      <c r="J286">
        <v>7</v>
      </c>
      <c r="K286" t="s">
        <v>124</v>
      </c>
      <c r="L286" t="s">
        <v>65</v>
      </c>
      <c r="M286">
        <v>5</v>
      </c>
      <c r="N286">
        <v>3</v>
      </c>
    </row>
    <row r="287" spans="1:14">
      <c r="A287">
        <v>10102</v>
      </c>
      <c r="B287" t="s">
        <v>502</v>
      </c>
      <c r="C287" t="str" cm="1">
        <f t="array" ref="C287">_xlfn.IFS(L287="Exceeds", "Top Performer", L287="Fully Meets", "Solid Performer", L287="Needs Improvement", "Underperformer", L287="PIP", "At Risk")</f>
        <v>Solid Performer</v>
      </c>
      <c r="D287" t="str" cm="1">
        <f t="array" ref="D287">_xlfn.IFS(G287="Active", "Retained", G287="Voluntarily Terminated", "Voluntary Exit", G287="Terminated for Cause", "Involuntary Exit")</f>
        <v>Voluntary Exit</v>
      </c>
      <c r="E287" s="1">
        <v>43205</v>
      </c>
      <c r="F287" t="s">
        <v>386</v>
      </c>
      <c r="G287" t="s">
        <v>61</v>
      </c>
      <c r="H287" t="s">
        <v>82</v>
      </c>
      <c r="I287" t="s">
        <v>83</v>
      </c>
      <c r="J287">
        <v>10</v>
      </c>
      <c r="K287" t="s">
        <v>91</v>
      </c>
      <c r="L287" t="s">
        <v>65</v>
      </c>
      <c r="M287">
        <v>4.5999999999999996</v>
      </c>
      <c r="N287">
        <v>3</v>
      </c>
    </row>
    <row r="288" spans="1:14">
      <c r="A288">
        <v>10270</v>
      </c>
      <c r="B288" t="s">
        <v>503</v>
      </c>
      <c r="C288" t="str" cm="1">
        <f t="array" ref="C288">_xlfn.IFS(L288="Exceeds", "Top Performer", L288="Fully Meets", "Solid Performer", L288="Needs Improvement", "Underperformer", L288="PIP", "At Risk")</f>
        <v>Solid Performer</v>
      </c>
      <c r="D288" t="str" cm="1">
        <f t="array" ref="D288">_xlfn.IFS(G288="Active", "Retained", G288="Voluntarily Terminated", "Voluntary Exit", G288="Terminated for Cause", "Involuntary Exit")</f>
        <v>Voluntary Exit</v>
      </c>
      <c r="E288" s="1">
        <v>41822</v>
      </c>
      <c r="F288" t="s">
        <v>100</v>
      </c>
      <c r="G288" t="s">
        <v>61</v>
      </c>
      <c r="H288" t="s">
        <v>53</v>
      </c>
      <c r="I288" t="s">
        <v>79</v>
      </c>
      <c r="J288">
        <v>11</v>
      </c>
      <c r="K288" t="s">
        <v>55</v>
      </c>
      <c r="L288" t="s">
        <v>65</v>
      </c>
      <c r="M288">
        <v>4.4000000000000004</v>
      </c>
      <c r="N288">
        <v>3</v>
      </c>
    </row>
    <row r="289" spans="1:14">
      <c r="A289">
        <v>10045</v>
      </c>
      <c r="B289" t="s">
        <v>503</v>
      </c>
      <c r="C289" t="str" cm="1">
        <f t="array" ref="C289">_xlfn.IFS(L289="Exceeds", "Top Performer", L289="Fully Meets", "Solid Performer", L289="Needs Improvement", "Underperformer", L289="PIP", "At Risk")</f>
        <v>Solid Performer</v>
      </c>
      <c r="D289" t="str" cm="1">
        <f t="array" ref="D289">_xlfn.IFS(G289="Active", "Retained", G289="Voluntarily Terminated", "Voluntary Exit", G289="Terminated for Cause", "Involuntary Exit")</f>
        <v>Retained</v>
      </c>
      <c r="F289" t="s">
        <v>51</v>
      </c>
      <c r="G289" t="s">
        <v>52</v>
      </c>
      <c r="H289" t="s">
        <v>62</v>
      </c>
      <c r="I289" t="s">
        <v>94</v>
      </c>
      <c r="J289">
        <v>7</v>
      </c>
      <c r="K289" t="s">
        <v>87</v>
      </c>
      <c r="L289" t="s">
        <v>65</v>
      </c>
      <c r="M289">
        <v>5</v>
      </c>
      <c r="N289">
        <v>4</v>
      </c>
    </row>
    <row r="290" spans="1:14">
      <c r="A290">
        <v>10205</v>
      </c>
      <c r="B290" t="s">
        <v>43</v>
      </c>
      <c r="C290" t="str" cm="1">
        <f t="array" ref="C290">_xlfn.IFS(L290="Exceeds", "Top Performer", L290="Fully Meets", "Solid Performer", L290="Needs Improvement", "Underperformer", L290="PIP", "At Risk")</f>
        <v>Solid Performer</v>
      </c>
      <c r="D290" t="str" cm="1">
        <f t="array" ref="D290">_xlfn.IFS(G290="Active", "Retained", G290="Voluntarily Terminated", "Voluntary Exit", G290="Terminated for Cause", "Involuntary Exit")</f>
        <v>Retained</v>
      </c>
      <c r="F290" t="s">
        <v>51</v>
      </c>
      <c r="G290" t="s">
        <v>52</v>
      </c>
      <c r="H290" t="s">
        <v>148</v>
      </c>
      <c r="I290" t="s">
        <v>149</v>
      </c>
      <c r="J290">
        <v>17</v>
      </c>
      <c r="K290" t="s">
        <v>64</v>
      </c>
      <c r="L290" t="s">
        <v>65</v>
      </c>
      <c r="M290">
        <v>2.81</v>
      </c>
      <c r="N290">
        <v>3</v>
      </c>
    </row>
    <row r="291" spans="1:14">
      <c r="A291">
        <v>10014</v>
      </c>
      <c r="B291" t="s">
        <v>43</v>
      </c>
      <c r="C291" t="str" cm="1">
        <f t="array" ref="C291">_xlfn.IFS(L291="Exceeds", "Top Performer", L291="Fully Meets", "Solid Performer", L291="Needs Improvement", "Underperformer", L291="PIP", "At Risk")</f>
        <v>Top Performer</v>
      </c>
      <c r="D291" t="str" cm="1">
        <f t="array" ref="D291">_xlfn.IFS(G291="Active", "Retained", G291="Voluntarily Terminated", "Voluntary Exit", G291="Terminated for Cause", "Involuntary Exit")</f>
        <v>Voluntary Exit</v>
      </c>
      <c r="E291" s="1">
        <v>42405</v>
      </c>
      <c r="F291" t="s">
        <v>303</v>
      </c>
      <c r="G291" t="s">
        <v>61</v>
      </c>
      <c r="H291" t="s">
        <v>53</v>
      </c>
      <c r="I291" t="s">
        <v>70</v>
      </c>
      <c r="J291">
        <v>20</v>
      </c>
      <c r="K291" t="s">
        <v>55</v>
      </c>
      <c r="L291" t="s">
        <v>56</v>
      </c>
      <c r="M291">
        <v>4.5</v>
      </c>
      <c r="N291">
        <v>5</v>
      </c>
    </row>
    <row r="292" spans="1:14">
      <c r="A292">
        <v>10144</v>
      </c>
      <c r="B292" t="s">
        <v>503</v>
      </c>
      <c r="C292" t="str" cm="1">
        <f t="array" ref="C292">_xlfn.IFS(L292="Exceeds", "Top Performer", L292="Fully Meets", "Solid Performer", L292="Needs Improvement", "Underperformer", L292="PIP", "At Risk")</f>
        <v>Solid Performer</v>
      </c>
      <c r="D292" t="str" cm="1">
        <f t="array" ref="D292">_xlfn.IFS(G292="Active", "Retained", G292="Voluntarily Terminated", "Voluntary Exit", G292="Terminated for Cause", "Involuntary Exit")</f>
        <v>Retained</v>
      </c>
      <c r="F292" t="s">
        <v>51</v>
      </c>
      <c r="G292" t="s">
        <v>52</v>
      </c>
      <c r="H292" t="s">
        <v>53</v>
      </c>
      <c r="I292" t="s">
        <v>138</v>
      </c>
      <c r="J292">
        <v>2</v>
      </c>
      <c r="K292" t="s">
        <v>87</v>
      </c>
      <c r="L292" t="s">
        <v>65</v>
      </c>
      <c r="M292">
        <v>3.93</v>
      </c>
      <c r="N292">
        <v>3</v>
      </c>
    </row>
    <row r="293" spans="1:14">
      <c r="A293">
        <v>10253</v>
      </c>
      <c r="B293" t="s">
        <v>43</v>
      </c>
      <c r="C293" t="str" cm="1">
        <f t="array" ref="C293">_xlfn.IFS(L293="Exceeds", "Top Performer", L293="Fully Meets", "Solid Performer", L293="Needs Improvement", "Underperformer", L293="PIP", "At Risk")</f>
        <v>Solid Performer</v>
      </c>
      <c r="D293" t="str" cm="1">
        <f t="array" ref="D293">_xlfn.IFS(G293="Active", "Retained", G293="Voluntarily Terminated", "Voluntary Exit", G293="Terminated for Cause", "Involuntary Exit")</f>
        <v>Retained</v>
      </c>
      <c r="F293" t="s">
        <v>51</v>
      </c>
      <c r="G293" t="s">
        <v>52</v>
      </c>
      <c r="H293" t="s">
        <v>148</v>
      </c>
      <c r="I293" t="s">
        <v>149</v>
      </c>
      <c r="J293">
        <v>17</v>
      </c>
      <c r="K293" t="s">
        <v>208</v>
      </c>
      <c r="L293" t="s">
        <v>65</v>
      </c>
      <c r="M293">
        <v>4.5</v>
      </c>
      <c r="N293">
        <v>4</v>
      </c>
    </row>
    <row r="294" spans="1:14">
      <c r="A294">
        <v>10118</v>
      </c>
      <c r="B294" t="s">
        <v>502</v>
      </c>
      <c r="C294" t="str" cm="1">
        <f t="array" ref="C294">_xlfn.IFS(L294="Exceeds", "Top Performer", L294="Fully Meets", "Solid Performer", L294="Needs Improvement", "Underperformer", L294="PIP", "At Risk")</f>
        <v>Solid Performer</v>
      </c>
      <c r="D294" t="str" cm="1">
        <f t="array" ref="D294">_xlfn.IFS(G294="Active", "Retained", G294="Voluntarily Terminated", "Voluntary Exit", G294="Terminated for Cause", "Involuntary Exit")</f>
        <v>Involuntary Exit</v>
      </c>
      <c r="E294" s="1">
        <v>42788</v>
      </c>
      <c r="F294" t="s">
        <v>225</v>
      </c>
      <c r="G294" t="s">
        <v>111</v>
      </c>
      <c r="H294" t="s">
        <v>62</v>
      </c>
      <c r="I294" t="s">
        <v>63</v>
      </c>
      <c r="J294">
        <v>4</v>
      </c>
      <c r="K294" t="s">
        <v>87</v>
      </c>
      <c r="L294" t="s">
        <v>65</v>
      </c>
      <c r="M294">
        <v>4.33</v>
      </c>
      <c r="N294">
        <v>3</v>
      </c>
    </row>
    <row r="295" spans="1:14">
      <c r="A295">
        <v>10022</v>
      </c>
      <c r="B295" t="s">
        <v>43</v>
      </c>
      <c r="C295" t="str" cm="1">
        <f t="array" ref="C295">_xlfn.IFS(L295="Exceeds", "Top Performer", L295="Fully Meets", "Solid Performer", L295="Needs Improvement", "Underperformer", L295="PIP", "At Risk")</f>
        <v>Top Performer</v>
      </c>
      <c r="D295" t="str" cm="1">
        <f t="array" ref="D295">_xlfn.IFS(G295="Active", "Retained", G295="Voluntarily Terminated", "Voluntary Exit", G295="Terminated for Cause", "Involuntary Exit")</f>
        <v>Involuntary Exit</v>
      </c>
      <c r="E295" s="1">
        <v>42408</v>
      </c>
      <c r="F295" t="s">
        <v>476</v>
      </c>
      <c r="G295" t="s">
        <v>111</v>
      </c>
      <c r="H295" t="s">
        <v>53</v>
      </c>
      <c r="I295" t="s">
        <v>106</v>
      </c>
      <c r="J295">
        <v>18</v>
      </c>
      <c r="K295" t="s">
        <v>77</v>
      </c>
      <c r="L295" t="s">
        <v>56</v>
      </c>
      <c r="M295">
        <v>4.3</v>
      </c>
      <c r="N295">
        <v>5</v>
      </c>
    </row>
    <row r="296" spans="1:14">
      <c r="A296">
        <v>10183</v>
      </c>
      <c r="B296" t="s">
        <v>43</v>
      </c>
      <c r="C296" t="str" cm="1">
        <f t="array" ref="C296">_xlfn.IFS(L296="Exceeds", "Top Performer", L296="Fully Meets", "Solid Performer", L296="Needs Improvement", "Underperformer", L296="PIP", "At Risk")</f>
        <v>Solid Performer</v>
      </c>
      <c r="D296" t="str" cm="1">
        <f t="array" ref="D296">_xlfn.IFS(G296="Active", "Retained", G296="Voluntarily Terminated", "Voluntary Exit", G296="Terminated for Cause", "Involuntary Exit")</f>
        <v>Retained</v>
      </c>
      <c r="F296" t="s">
        <v>51</v>
      </c>
      <c r="G296" t="s">
        <v>52</v>
      </c>
      <c r="H296" t="s">
        <v>53</v>
      </c>
      <c r="I296" t="s">
        <v>54</v>
      </c>
      <c r="J296">
        <v>22</v>
      </c>
      <c r="K296" t="s">
        <v>55</v>
      </c>
      <c r="L296" t="s">
        <v>65</v>
      </c>
      <c r="M296">
        <v>3.21</v>
      </c>
      <c r="N296">
        <v>3</v>
      </c>
    </row>
    <row r="297" spans="1:14">
      <c r="A297">
        <v>10190</v>
      </c>
      <c r="B297" t="s">
        <v>43</v>
      </c>
      <c r="C297" t="str" cm="1">
        <f t="array" ref="C297">_xlfn.IFS(L297="Exceeds", "Top Performer", L297="Fully Meets", "Solid Performer", L297="Needs Improvement", "Underperformer", L297="PIP", "At Risk")</f>
        <v>Solid Performer</v>
      </c>
      <c r="D297" t="str" cm="1">
        <f t="array" ref="D297">_xlfn.IFS(G297="Active", "Retained", G297="Voluntarily Terminated", "Voluntary Exit", G297="Terminated for Cause", "Involuntary Exit")</f>
        <v>Retained</v>
      </c>
      <c r="F297" t="s">
        <v>51</v>
      </c>
      <c r="G297" t="s">
        <v>52</v>
      </c>
      <c r="H297" t="s">
        <v>53</v>
      </c>
      <c r="I297" t="s">
        <v>86</v>
      </c>
      <c r="J297">
        <v>19</v>
      </c>
      <c r="K297" t="s">
        <v>87</v>
      </c>
      <c r="L297" t="s">
        <v>65</v>
      </c>
      <c r="M297">
        <v>3.11</v>
      </c>
      <c r="N297">
        <v>5</v>
      </c>
    </row>
    <row r="298" spans="1:14">
      <c r="A298">
        <v>10274</v>
      </c>
      <c r="B298" t="s">
        <v>503</v>
      </c>
      <c r="C298" t="str" cm="1">
        <f t="array" ref="C298">_xlfn.IFS(L298="Exceeds", "Top Performer", L298="Fully Meets", "Solid Performer", L298="Needs Improvement", "Underperformer", L298="PIP", "At Risk")</f>
        <v>Solid Performer</v>
      </c>
      <c r="D298" t="str" cm="1">
        <f t="array" ref="D298">_xlfn.IFS(G298="Active", "Retained", G298="Voluntarily Terminated", "Voluntary Exit", G298="Terminated for Cause", "Involuntary Exit")</f>
        <v>Voluntary Exit</v>
      </c>
      <c r="E298" s="1">
        <v>40910</v>
      </c>
      <c r="F298" t="s">
        <v>97</v>
      </c>
      <c r="G298" t="s">
        <v>61</v>
      </c>
      <c r="H298" t="s">
        <v>53</v>
      </c>
      <c r="I298" t="s">
        <v>138</v>
      </c>
      <c r="J298">
        <v>2</v>
      </c>
      <c r="K298" t="s">
        <v>91</v>
      </c>
      <c r="L298" t="s">
        <v>65</v>
      </c>
      <c r="M298">
        <v>4.5</v>
      </c>
      <c r="N298">
        <v>3</v>
      </c>
    </row>
    <row r="299" spans="1:14">
      <c r="A299">
        <v>10293</v>
      </c>
      <c r="B299" t="s">
        <v>43</v>
      </c>
      <c r="C299" t="str" cm="1">
        <f t="array" ref="C299">_xlfn.IFS(L299="Exceeds", "Top Performer", L299="Fully Meets", "Solid Performer", L299="Needs Improvement", "Underperformer", L299="PIP", "At Risk")</f>
        <v>Underperformer</v>
      </c>
      <c r="D299" t="str" cm="1">
        <f t="array" ref="D299">_xlfn.IFS(G299="Active", "Retained", G299="Voluntarily Terminated", "Voluntary Exit", G299="Terminated for Cause", "Involuntary Exit")</f>
        <v>Voluntary Exit</v>
      </c>
      <c r="E299" s="1">
        <v>42248</v>
      </c>
      <c r="F299" t="s">
        <v>60</v>
      </c>
      <c r="G299" t="s">
        <v>61</v>
      </c>
      <c r="H299" t="s">
        <v>53</v>
      </c>
      <c r="I299" t="s">
        <v>72</v>
      </c>
      <c r="J299">
        <v>16</v>
      </c>
      <c r="K299" t="s">
        <v>124</v>
      </c>
      <c r="L299" t="s">
        <v>125</v>
      </c>
      <c r="M299">
        <v>2.5</v>
      </c>
      <c r="N299">
        <v>3</v>
      </c>
    </row>
    <row r="300" spans="1:14">
      <c r="A300">
        <v>10172</v>
      </c>
      <c r="B300" t="s">
        <v>503</v>
      </c>
      <c r="C300" t="str" cm="1">
        <f t="array" ref="C300">_xlfn.IFS(L300="Exceeds", "Top Performer", L300="Fully Meets", "Solid Performer", L300="Needs Improvement", "Underperformer", L300="PIP", "At Risk")</f>
        <v>Solid Performer</v>
      </c>
      <c r="D300" t="str" cm="1">
        <f t="array" ref="D300">_xlfn.IFS(G300="Active", "Retained", G300="Voluntarily Terminated", "Voluntary Exit", G300="Terminated for Cause", "Involuntary Exit")</f>
        <v>Retained</v>
      </c>
      <c r="F300" t="s">
        <v>51</v>
      </c>
      <c r="G300" t="s">
        <v>52</v>
      </c>
      <c r="H300" t="s">
        <v>62</v>
      </c>
      <c r="I300" t="s">
        <v>204</v>
      </c>
      <c r="J300">
        <v>13</v>
      </c>
      <c r="K300" t="s">
        <v>64</v>
      </c>
      <c r="L300" t="s">
        <v>65</v>
      </c>
      <c r="M300">
        <v>3.42</v>
      </c>
      <c r="N300">
        <v>4</v>
      </c>
    </row>
    <row r="301" spans="1:14">
      <c r="A301">
        <v>10127</v>
      </c>
      <c r="B301" t="s">
        <v>502</v>
      </c>
      <c r="C301" t="str" cm="1">
        <f t="array" ref="C301">_xlfn.IFS(L301="Exceeds", "Top Performer", L301="Fully Meets", "Solid Performer", L301="Needs Improvement", "Underperformer", L301="PIP", "At Risk")</f>
        <v>Solid Performer</v>
      </c>
      <c r="D301" t="str" cm="1">
        <f t="array" ref="D301">_xlfn.IFS(G301="Active", "Retained", G301="Voluntarily Terminated", "Voluntary Exit", G301="Terminated for Cause", "Involuntary Exit")</f>
        <v>Retained</v>
      </c>
      <c r="F301" t="s">
        <v>51</v>
      </c>
      <c r="G301" t="s">
        <v>52</v>
      </c>
      <c r="H301" t="s">
        <v>62</v>
      </c>
      <c r="I301" t="s">
        <v>94</v>
      </c>
      <c r="J301">
        <v>7</v>
      </c>
      <c r="K301" t="s">
        <v>87</v>
      </c>
      <c r="L301" t="s">
        <v>65</v>
      </c>
      <c r="M301">
        <v>4.2</v>
      </c>
      <c r="N301">
        <v>4</v>
      </c>
    </row>
    <row r="302" spans="1:14">
      <c r="A302">
        <v>10072</v>
      </c>
      <c r="B302" t="s">
        <v>43</v>
      </c>
      <c r="C302" t="str" cm="1">
        <f t="array" ref="C302">_xlfn.IFS(L302="Exceeds", "Top Performer", L302="Fully Meets", "Solid Performer", L302="Needs Improvement", "Underperformer", L302="PIP", "At Risk")</f>
        <v>Solid Performer</v>
      </c>
      <c r="D302" t="str" cm="1">
        <f t="array" ref="D302">_xlfn.IFS(G302="Active", "Retained", G302="Voluntarily Terminated", "Voluntary Exit", G302="Terminated for Cause", "Involuntary Exit")</f>
        <v>Voluntary Exit</v>
      </c>
      <c r="E302" s="1">
        <v>41774</v>
      </c>
      <c r="F302" t="s">
        <v>69</v>
      </c>
      <c r="G302" t="s">
        <v>61</v>
      </c>
      <c r="H302" t="s">
        <v>53</v>
      </c>
      <c r="I302" t="s">
        <v>76</v>
      </c>
      <c r="J302">
        <v>39</v>
      </c>
      <c r="K302" t="s">
        <v>55</v>
      </c>
      <c r="L302" t="s">
        <v>65</v>
      </c>
      <c r="M302">
        <v>5</v>
      </c>
      <c r="N302">
        <v>5</v>
      </c>
    </row>
    <row r="303" spans="1:14">
      <c r="A303">
        <v>10048</v>
      </c>
      <c r="B303" t="s">
        <v>43</v>
      </c>
      <c r="C303" t="str" cm="1">
        <f t="array" ref="C303">_xlfn.IFS(L303="Exceeds", "Top Performer", L303="Fully Meets", "Solid Performer", L303="Needs Improvement", "Underperformer", L303="PIP", "At Risk")</f>
        <v>Solid Performer</v>
      </c>
      <c r="D303" t="str" cm="1">
        <f t="array" ref="D303">_xlfn.IFS(G303="Active", "Retained", G303="Voluntarily Terminated", "Voluntary Exit", G303="Terminated for Cause", "Involuntary Exit")</f>
        <v>Voluntary Exit</v>
      </c>
      <c r="E303" s="1">
        <v>42254</v>
      </c>
      <c r="F303" t="s">
        <v>100</v>
      </c>
      <c r="G303" t="s">
        <v>61</v>
      </c>
      <c r="H303" t="s">
        <v>53</v>
      </c>
      <c r="I303" t="s">
        <v>79</v>
      </c>
      <c r="J303">
        <v>11</v>
      </c>
      <c r="K303" t="s">
        <v>208</v>
      </c>
      <c r="L303" t="s">
        <v>65</v>
      </c>
      <c r="M303">
        <v>5</v>
      </c>
      <c r="N303">
        <v>3</v>
      </c>
    </row>
    <row r="304" spans="1:14">
      <c r="A304">
        <v>10204</v>
      </c>
      <c r="B304" t="s">
        <v>43</v>
      </c>
      <c r="C304" t="str" cm="1">
        <f t="array" ref="C304">_xlfn.IFS(L304="Exceeds", "Top Performer", L304="Fully Meets", "Solid Performer", L304="Needs Improvement", "Underperformer", L304="PIP", "At Risk")</f>
        <v>Solid Performer</v>
      </c>
      <c r="D304" t="str" cm="1">
        <f t="array" ref="D304">_xlfn.IFS(G304="Active", "Retained", G304="Voluntarily Terminated", "Voluntary Exit", G304="Terminated for Cause", "Involuntary Exit")</f>
        <v>Voluntary Exit</v>
      </c>
      <c r="E304" s="1">
        <v>41043</v>
      </c>
      <c r="F304" t="s">
        <v>97</v>
      </c>
      <c r="G304" t="s">
        <v>61</v>
      </c>
      <c r="H304" t="s">
        <v>53</v>
      </c>
      <c r="I304" t="s">
        <v>86</v>
      </c>
      <c r="J304">
        <v>19</v>
      </c>
      <c r="K304" t="s">
        <v>77</v>
      </c>
      <c r="L304" t="s">
        <v>65</v>
      </c>
      <c r="M304">
        <v>3.6</v>
      </c>
      <c r="N304">
        <v>5</v>
      </c>
    </row>
    <row r="305" spans="1:14">
      <c r="A305">
        <v>10264</v>
      </c>
      <c r="B305" t="s">
        <v>43</v>
      </c>
      <c r="C305" t="str" cm="1">
        <f t="array" ref="C305">_xlfn.IFS(L305="Exceeds", "Top Performer", L305="Fully Meets", "Solid Performer", L305="Needs Improvement", "Underperformer", L305="PIP", "At Risk")</f>
        <v>Solid Performer</v>
      </c>
      <c r="D305" t="str" cm="1">
        <f t="array" ref="D305">_xlfn.IFS(G305="Active", "Retained", G305="Voluntarily Terminated", "Voluntary Exit", G305="Terminated for Cause", "Involuntary Exit")</f>
        <v>Voluntary Exit</v>
      </c>
      <c r="E305" s="1">
        <v>42182</v>
      </c>
      <c r="F305" t="s">
        <v>169</v>
      </c>
      <c r="G305" t="s">
        <v>61</v>
      </c>
      <c r="H305" t="s">
        <v>53</v>
      </c>
      <c r="I305" t="s">
        <v>86</v>
      </c>
      <c r="J305">
        <v>19</v>
      </c>
      <c r="K305" t="s">
        <v>91</v>
      </c>
      <c r="L305" t="s">
        <v>65</v>
      </c>
      <c r="M305">
        <v>4.3</v>
      </c>
      <c r="N305">
        <v>4</v>
      </c>
    </row>
    <row r="306" spans="1:14">
      <c r="A306">
        <v>10033</v>
      </c>
      <c r="B306" t="s">
        <v>503</v>
      </c>
      <c r="C306" t="str" cm="1">
        <f t="array" ref="C306">_xlfn.IFS(L306="Exceeds", "Top Performer", L306="Fully Meets", "Solid Performer", L306="Needs Improvement", "Underperformer", L306="PIP", "At Risk")</f>
        <v>Top Performer</v>
      </c>
      <c r="D306" t="str" cm="1">
        <f t="array" ref="D306">_xlfn.IFS(G306="Active", "Retained", G306="Voluntarily Terminated", "Voluntary Exit", G306="Terminated for Cause", "Involuntary Exit")</f>
        <v>Voluntary Exit</v>
      </c>
      <c r="E306" s="1">
        <v>42421</v>
      </c>
      <c r="F306" t="s">
        <v>137</v>
      </c>
      <c r="G306" t="s">
        <v>61</v>
      </c>
      <c r="H306" t="s">
        <v>53</v>
      </c>
      <c r="I306" t="s">
        <v>90</v>
      </c>
      <c r="J306">
        <v>12</v>
      </c>
      <c r="K306" t="s">
        <v>55</v>
      </c>
      <c r="L306" t="s">
        <v>56</v>
      </c>
      <c r="M306">
        <v>5</v>
      </c>
      <c r="N306">
        <v>3</v>
      </c>
    </row>
    <row r="307" spans="1:14">
      <c r="A307">
        <v>10174</v>
      </c>
      <c r="B307" t="s">
        <v>43</v>
      </c>
      <c r="C307" t="str" cm="1">
        <f t="array" ref="C307">_xlfn.IFS(L307="Exceeds", "Top Performer", L307="Fully Meets", "Solid Performer", L307="Needs Improvement", "Underperformer", L307="PIP", "At Risk")</f>
        <v>Solid Performer</v>
      </c>
      <c r="D307" t="str" cm="1">
        <f t="array" ref="D307">_xlfn.IFS(G307="Active", "Retained", G307="Voluntarily Terminated", "Voluntary Exit", G307="Terminated for Cause", "Involuntary Exit")</f>
        <v>Retained</v>
      </c>
      <c r="F307" t="s">
        <v>51</v>
      </c>
      <c r="G307" t="s">
        <v>52</v>
      </c>
      <c r="H307" t="s">
        <v>53</v>
      </c>
      <c r="I307" t="s">
        <v>98</v>
      </c>
      <c r="J307">
        <v>14</v>
      </c>
      <c r="K307" t="s">
        <v>55</v>
      </c>
      <c r="L307" t="s">
        <v>65</v>
      </c>
      <c r="M307">
        <v>3.4</v>
      </c>
      <c r="N307">
        <v>4</v>
      </c>
    </row>
    <row r="308" spans="1:14">
      <c r="A308">
        <v>10135</v>
      </c>
      <c r="B308" t="s">
        <v>43</v>
      </c>
      <c r="C308" t="str" cm="1">
        <f t="array" ref="C308">_xlfn.IFS(L308="Exceeds", "Top Performer", L308="Fully Meets", "Solid Performer", L308="Needs Improvement", "Underperformer", L308="PIP", "At Risk")</f>
        <v>Solid Performer</v>
      </c>
      <c r="D308" t="str" cm="1">
        <f t="array" ref="D308">_xlfn.IFS(G308="Active", "Retained", G308="Voluntarily Terminated", "Voluntary Exit", G308="Terminated for Cause", "Involuntary Exit")</f>
        <v>Retained</v>
      </c>
      <c r="F308" t="s">
        <v>51</v>
      </c>
      <c r="G308" t="s">
        <v>52</v>
      </c>
      <c r="H308" t="s">
        <v>53</v>
      </c>
      <c r="I308" t="s">
        <v>70</v>
      </c>
      <c r="J308">
        <v>20</v>
      </c>
      <c r="K308" t="s">
        <v>55</v>
      </c>
      <c r="L308" t="s">
        <v>65</v>
      </c>
      <c r="M308">
        <v>4.07</v>
      </c>
      <c r="N308">
        <v>4</v>
      </c>
    </row>
    <row r="309" spans="1:14">
      <c r="A309">
        <v>10301</v>
      </c>
      <c r="B309" t="s">
        <v>43</v>
      </c>
      <c r="C309" t="str" cm="1">
        <f t="array" ref="C309">_xlfn.IFS(L309="Exceeds", "Top Performer", L309="Fully Meets", "Solid Performer", L309="Needs Improvement", "Underperformer", L309="PIP", "At Risk")</f>
        <v>At Risk</v>
      </c>
      <c r="D309" t="str" cm="1">
        <f t="array" ref="D309">_xlfn.IFS(G309="Active", "Retained", G309="Voluntarily Terminated", "Voluntary Exit", G309="Terminated for Cause", "Involuntary Exit")</f>
        <v>Voluntary Exit</v>
      </c>
      <c r="E309" s="1">
        <v>42276</v>
      </c>
      <c r="F309" t="s">
        <v>97</v>
      </c>
      <c r="G309" t="s">
        <v>61</v>
      </c>
      <c r="H309" t="s">
        <v>53</v>
      </c>
      <c r="I309" t="s">
        <v>90</v>
      </c>
      <c r="J309">
        <v>12</v>
      </c>
      <c r="K309" t="s">
        <v>77</v>
      </c>
      <c r="L309" t="s">
        <v>198</v>
      </c>
      <c r="M309">
        <v>3.2</v>
      </c>
      <c r="N309">
        <v>2</v>
      </c>
    </row>
    <row r="310" spans="1:14">
      <c r="A310">
        <v>10010</v>
      </c>
      <c r="B310" t="s">
        <v>502</v>
      </c>
      <c r="C310" t="str" cm="1">
        <f t="array" ref="C310">_xlfn.IFS(L310="Exceeds", "Top Performer", L310="Fully Meets", "Solid Performer", L310="Needs Improvement", "Underperformer", L310="PIP", "At Risk")</f>
        <v>Top Performer</v>
      </c>
      <c r="D310" t="str" cm="1">
        <f t="array" ref="D310">_xlfn.IFS(G310="Active", "Retained", G310="Voluntarily Terminated", "Voluntary Exit", G310="Terminated for Cause", "Involuntary Exit")</f>
        <v>Retained</v>
      </c>
      <c r="F310" t="s">
        <v>51</v>
      </c>
      <c r="G310" t="s">
        <v>52</v>
      </c>
      <c r="H310" t="s">
        <v>62</v>
      </c>
      <c r="I310" t="s">
        <v>138</v>
      </c>
      <c r="J310">
        <v>2</v>
      </c>
      <c r="K310" t="s">
        <v>87</v>
      </c>
      <c r="L310" t="s">
        <v>56</v>
      </c>
      <c r="M310">
        <v>4.5999999999999996</v>
      </c>
      <c r="N310">
        <v>5</v>
      </c>
    </row>
    <row r="311" spans="1:14">
      <c r="A311">
        <v>10043</v>
      </c>
      <c r="B311" t="s">
        <v>503</v>
      </c>
      <c r="C311" t="str" cm="1">
        <f t="array" ref="C311">_xlfn.IFS(L311="Exceeds", "Top Performer", L311="Fully Meets", "Solid Performer", L311="Needs Improvement", "Underperformer", L311="PIP", "At Risk")</f>
        <v>Solid Performer</v>
      </c>
      <c r="D311" t="str" cm="1">
        <f t="array" ref="D311">_xlfn.IFS(G311="Active", "Retained", G311="Voluntarily Terminated", "Voluntary Exit", G311="Terminated for Cause", "Involuntary Exit")</f>
        <v>Retained</v>
      </c>
      <c r="F311" t="s">
        <v>51</v>
      </c>
      <c r="G311" t="s">
        <v>52</v>
      </c>
      <c r="H311" t="s">
        <v>62</v>
      </c>
      <c r="I311" t="s">
        <v>63</v>
      </c>
      <c r="J311">
        <v>4</v>
      </c>
      <c r="K311" t="s">
        <v>87</v>
      </c>
      <c r="L311" t="s">
        <v>65</v>
      </c>
      <c r="M311">
        <v>5</v>
      </c>
      <c r="N311">
        <v>3</v>
      </c>
    </row>
    <row r="312" spans="1:14">
      <c r="A312">
        <v>10271</v>
      </c>
      <c r="B312" t="s">
        <v>43</v>
      </c>
      <c r="C312" t="str" cm="1">
        <f t="array" ref="C312">_xlfn.IFS(L312="Exceeds", "Top Performer", L312="Fully Meets", "Solid Performer", L312="Needs Improvement", "Underperformer", L312="PIP", "At Risk")</f>
        <v>Solid Performer</v>
      </c>
      <c r="D312" t="str" cm="1">
        <f t="array" ref="D312">_xlfn.IFS(G312="Active", "Retained", G312="Voluntarily Terminated", "Voluntary Exit", G312="Terminated for Cause", "Involuntary Exit")</f>
        <v>Retained</v>
      </c>
      <c r="F312" t="s">
        <v>51</v>
      </c>
      <c r="G312" t="s">
        <v>52</v>
      </c>
      <c r="H312" t="s">
        <v>53</v>
      </c>
      <c r="I312" t="s">
        <v>98</v>
      </c>
      <c r="J312">
        <v>14</v>
      </c>
      <c r="K312" t="s">
        <v>55</v>
      </c>
      <c r="L312" t="s">
        <v>65</v>
      </c>
      <c r="M312">
        <v>4.5</v>
      </c>
      <c r="N312">
        <v>5</v>
      </c>
    </row>
  </sheetData>
  <autoFilter ref="G1:G312" xr:uid="{477B0325-C13E-47AA-9B05-26A002FA341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5C5C-6B1B-491A-B7D8-E855FFC51BF4}">
  <dimension ref="A2:Q10"/>
  <sheetViews>
    <sheetView workbookViewId="0">
      <selection activeCell="D15" sqref="D15"/>
    </sheetView>
  </sheetViews>
  <sheetFormatPr defaultRowHeight="15"/>
  <cols>
    <col min="1" max="1" width="20.140625" bestFit="1" customWidth="1"/>
    <col min="2" max="2" width="17.42578125" bestFit="1" customWidth="1"/>
    <col min="3" max="3" width="13.85546875" bestFit="1" customWidth="1"/>
    <col min="4" max="5" width="11.7109375" bestFit="1" customWidth="1"/>
    <col min="13" max="13" width="20.140625" bestFit="1" customWidth="1"/>
    <col min="14" max="14" width="17.42578125" bestFit="1" customWidth="1"/>
    <col min="15" max="15" width="12.5703125" bestFit="1" customWidth="1"/>
    <col min="16" max="16" width="13.85546875" bestFit="1" customWidth="1"/>
    <col min="17" max="17" width="12.5703125" bestFit="1" customWidth="1"/>
  </cols>
  <sheetData>
    <row r="2" spans="1:17">
      <c r="A2" s="5" t="s">
        <v>504</v>
      </c>
      <c r="B2" s="5" t="s">
        <v>6</v>
      </c>
      <c r="M2" s="5" t="s">
        <v>505</v>
      </c>
      <c r="N2" s="5" t="s">
        <v>6</v>
      </c>
    </row>
    <row r="3" spans="1:17">
      <c r="A3" s="5" t="s">
        <v>31</v>
      </c>
      <c r="B3" t="s">
        <v>506</v>
      </c>
      <c r="C3" t="s">
        <v>507</v>
      </c>
      <c r="D3" t="s">
        <v>508</v>
      </c>
      <c r="M3" s="5" t="s">
        <v>31</v>
      </c>
      <c r="N3" t="s">
        <v>506</v>
      </c>
      <c r="O3" t="s">
        <v>509</v>
      </c>
      <c r="P3" t="s">
        <v>507</v>
      </c>
      <c r="Q3" t="s">
        <v>508</v>
      </c>
    </row>
    <row r="4" spans="1:17">
      <c r="A4" t="s">
        <v>133</v>
      </c>
      <c r="B4">
        <v>1</v>
      </c>
      <c r="C4">
        <v>1</v>
      </c>
      <c r="D4">
        <v>2</v>
      </c>
      <c r="M4" t="s">
        <v>133</v>
      </c>
      <c r="N4">
        <v>49920</v>
      </c>
      <c r="O4">
        <v>77315.28571428571</v>
      </c>
      <c r="P4">
        <v>55000</v>
      </c>
      <c r="Q4">
        <v>71791.888888888891</v>
      </c>
    </row>
    <row r="5" spans="1:17">
      <c r="A5" t="s">
        <v>62</v>
      </c>
      <c r="B5">
        <v>4</v>
      </c>
      <c r="C5">
        <v>6</v>
      </c>
      <c r="D5">
        <v>10</v>
      </c>
      <c r="M5" t="s">
        <v>309</v>
      </c>
      <c r="O5">
        <v>250000</v>
      </c>
      <c r="Q5">
        <v>250000</v>
      </c>
    </row>
    <row r="6" spans="1:17">
      <c r="A6" t="s">
        <v>53</v>
      </c>
      <c r="B6">
        <v>8</v>
      </c>
      <c r="C6">
        <v>75</v>
      </c>
      <c r="D6">
        <v>83</v>
      </c>
      <c r="M6" t="s">
        <v>62</v>
      </c>
      <c r="N6">
        <v>110603</v>
      </c>
      <c r="O6">
        <v>94512.074999999997</v>
      </c>
      <c r="P6">
        <v>105056.16666666667</v>
      </c>
      <c r="Q6">
        <v>97064.639999999999</v>
      </c>
    </row>
    <row r="7" spans="1:17">
      <c r="A7" t="s">
        <v>148</v>
      </c>
      <c r="B7">
        <v>2</v>
      </c>
      <c r="C7">
        <v>3</v>
      </c>
      <c r="D7">
        <v>5</v>
      </c>
      <c r="M7" t="s">
        <v>53</v>
      </c>
      <c r="N7">
        <v>60383.625</v>
      </c>
      <c r="O7">
        <v>60419.261904761908</v>
      </c>
      <c r="P7">
        <v>59125.26666666667</v>
      </c>
      <c r="Q7">
        <v>59953.545454545456</v>
      </c>
    </row>
    <row r="8" spans="1:17">
      <c r="A8" t="s">
        <v>82</v>
      </c>
      <c r="B8">
        <v>1</v>
      </c>
      <c r="C8">
        <v>3</v>
      </c>
      <c r="D8">
        <v>4</v>
      </c>
      <c r="M8" t="s">
        <v>148</v>
      </c>
      <c r="N8">
        <v>64778.5</v>
      </c>
      <c r="O8">
        <v>69088.846153846156</v>
      </c>
      <c r="P8">
        <v>71677.333333333328</v>
      </c>
      <c r="Q8">
        <v>69061.258064516136</v>
      </c>
    </row>
    <row r="9" spans="1:17">
      <c r="A9" t="s">
        <v>508</v>
      </c>
      <c r="B9">
        <v>16</v>
      </c>
      <c r="C9">
        <v>88</v>
      </c>
      <c r="D9">
        <v>104</v>
      </c>
      <c r="M9" t="s">
        <v>82</v>
      </c>
      <c r="N9">
        <v>99280</v>
      </c>
      <c r="O9">
        <v>93262.571428571435</v>
      </c>
      <c r="P9">
        <v>97588.666666666672</v>
      </c>
      <c r="Q9">
        <v>94989.454545454544</v>
      </c>
    </row>
    <row r="10" spans="1:17">
      <c r="M10" t="s">
        <v>508</v>
      </c>
      <c r="N10">
        <v>75264.875</v>
      </c>
      <c r="O10">
        <v>70694.033816425115</v>
      </c>
      <c r="P10">
        <v>63949.204545454544</v>
      </c>
      <c r="Q10">
        <v>69020.684887459807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BD25-0851-4919-AC5A-CB1C8B157860}">
  <dimension ref="B1:H5"/>
  <sheetViews>
    <sheetView showGridLines="0" workbookViewId="0">
      <selection activeCell="H5" sqref="H5"/>
    </sheetView>
  </sheetViews>
  <sheetFormatPr defaultRowHeight="15"/>
  <cols>
    <col min="6" max="6" width="12" customWidth="1"/>
    <col min="8" max="8" width="15.140625" bestFit="1" customWidth="1"/>
  </cols>
  <sheetData>
    <row r="1" spans="2:8" ht="26.25">
      <c r="B1" s="6" t="s">
        <v>510</v>
      </c>
    </row>
    <row r="4" spans="2:8">
      <c r="B4" s="9" t="s">
        <v>511</v>
      </c>
      <c r="C4" s="11"/>
      <c r="D4" s="9" t="s">
        <v>512</v>
      </c>
      <c r="E4" s="11"/>
      <c r="F4" s="9" t="s">
        <v>513</v>
      </c>
      <c r="G4" s="11"/>
      <c r="H4" s="7" t="s">
        <v>514</v>
      </c>
    </row>
    <row r="5" spans="2:8" ht="23.25">
      <c r="B5" s="10">
        <f>SUM(Analysis!B:B)</f>
        <v>311</v>
      </c>
      <c r="C5" s="12"/>
      <c r="D5" s="10">
        <f>SUM(Analysis!E:E)</f>
        <v>104</v>
      </c>
      <c r="E5" s="12"/>
      <c r="F5" s="13">
        <f>D5/B5</f>
        <v>0.33440514469453375</v>
      </c>
      <c r="G5" s="12"/>
      <c r="H5" s="8">
        <f>AVERAGE(Analysis!D2:D6)</f>
        <v>78572.157390681008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2026-03-20T11:56:21Z</dcterms:created>
  <dcterms:modified xsi:type="dcterms:W3CDTF">2026-04-03T20:56:31Z</dcterms:modified>
  <cp:category/>
  <cp:contentStatus/>
</cp:coreProperties>
</file>